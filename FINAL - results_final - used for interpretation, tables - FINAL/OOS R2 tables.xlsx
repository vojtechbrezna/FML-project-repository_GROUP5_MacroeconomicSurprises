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jtechbrezna/Reseach_projet_FML/FML-project-repository/"/>
    </mc:Choice>
  </mc:AlternateContent>
  <xr:revisionPtr revIDLastSave="0" documentId="8_{D8B58E70-7E12-444A-8806-F6F7665F3332}" xr6:coauthVersionLast="47" xr6:coauthVersionMax="47" xr10:uidLastSave="{00000000-0000-0000-0000-000000000000}"/>
  <bookViews>
    <workbookView xWindow="0" yWindow="0" windowWidth="28800" windowHeight="18000" xr2:uid="{FC0DD403-4DFC-B444-8D0F-3CC624238D45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1" l="1"/>
  <c r="Q31" i="1"/>
  <c r="P31" i="1"/>
  <c r="R30" i="1"/>
  <c r="Q30" i="1"/>
  <c r="P30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R23" i="1"/>
  <c r="Q23" i="1"/>
  <c r="P23" i="1"/>
  <c r="R22" i="1"/>
  <c r="Q22" i="1"/>
  <c r="P22" i="1"/>
</calcChain>
</file>

<file path=xl/sharedStrings.xml><?xml version="1.0" encoding="utf-8"?>
<sst xmlns="http://schemas.openxmlformats.org/spreadsheetml/2006/main" count="159" uniqueCount="93">
  <si>
    <t>======================================================================</t>
  </si>
  <si>
    <t>CROSS-ASSET SUMMARY — Validation OOS R² (2016-2020, expanding window)</t>
  </si>
  <si>
    <t>ret_CADUSD</t>
  </si>
  <si>
    <t>ret_EURUSD</t>
  </si>
  <si>
    <t>ret_GBPUSD</t>
  </si>
  <si>
    <t>ret_GC</t>
  </si>
  <si>
    <t>ret_JPYUSD</t>
  </si>
  <si>
    <t>ret_XLE</t>
  </si>
  <si>
    <t>ret_XLF</t>
  </si>
  <si>
    <t>ret_XLI</t>
  </si>
  <si>
    <t>ret_XLK</t>
  </si>
  <si>
    <t>ret_XLV</t>
  </si>
  <si>
    <t>ret_ZN</t>
  </si>
  <si>
    <t>ret_ZT</t>
  </si>
  <si>
    <t>ret_GSPC</t>
  </si>
  <si>
    <t>ret_RUT</t>
  </si>
  <si>
    <t>ret_CADUSD_cum3</t>
  </si>
  <si>
    <t>ret_EURUSD_cum3</t>
  </si>
  <si>
    <t>ret_GBPUSD_cum3</t>
  </si>
  <si>
    <t>ret_GC_cum3</t>
  </si>
  <si>
    <t>ret_JPYUSD_cum3</t>
  </si>
  <si>
    <t>ret_XLE_cum3</t>
  </si>
  <si>
    <t>ret_XLF_cum3</t>
  </si>
  <si>
    <t>ret_XLI_cum3</t>
  </si>
  <si>
    <t>ret_XLK_cum3</t>
  </si>
  <si>
    <t>ret_XLV_cum3</t>
  </si>
  <si>
    <t>ret_ZN_cum3</t>
  </si>
  <si>
    <t>ret_ZT_cum3</t>
  </si>
  <si>
    <t>ret_GSPC_cum3</t>
  </si>
  <si>
    <t>ret_RUT_cum3</t>
  </si>
  <si>
    <t>ret_CADUSD_cum5</t>
  </si>
  <si>
    <t>ret_EURUSD_cum5</t>
  </si>
  <si>
    <t>ret_GBPUSD_cum5</t>
  </si>
  <si>
    <t>ret_GC_cum5</t>
  </si>
  <si>
    <t>ret_JPYUSD_cum5</t>
  </si>
  <si>
    <t>ret_XLE_cum5</t>
  </si>
  <si>
    <t>ret_XLF_cum5</t>
  </si>
  <si>
    <t>ret_XLI_cum5</t>
  </si>
  <si>
    <t>ret_XLK_cum5</t>
  </si>
  <si>
    <t>ret_XLV_cum5</t>
  </si>
  <si>
    <t>ret_ZN_cum5</t>
  </si>
  <si>
    <t>ret_ZT_cum5</t>
  </si>
  <si>
    <t>ret_GSPC_cum5</t>
  </si>
  <si>
    <t>ret_RUT_cum5</t>
  </si>
  <si>
    <t>ret_CADUSD_cum10</t>
  </si>
  <si>
    <t>ret_EURUSD_cum10</t>
  </si>
  <si>
    <t>ret_GBPUSD_cum10</t>
  </si>
  <si>
    <t>ret_GC_cum10</t>
  </si>
  <si>
    <t>ret_JPYUSD_cum10</t>
  </si>
  <si>
    <t>ret_XLE_cum10</t>
  </si>
  <si>
    <t>ret_XLF_cum10</t>
  </si>
  <si>
    <t>ret_XLI_cum10</t>
  </si>
  <si>
    <t>ret_XLK_cum10</t>
  </si>
  <si>
    <t>ret_XLV_cum10</t>
  </si>
  <si>
    <t>ret_ZN_cum10</t>
  </si>
  <si>
    <t>ret_ZT_cum10</t>
  </si>
  <si>
    <t>ret_GSPC_cum10</t>
  </si>
  <si>
    <t>ret_RUT_cum10</t>
  </si>
  <si>
    <t>ret_CADUSD_cum15</t>
  </si>
  <si>
    <t>ret_EURUSD_cum15</t>
  </si>
  <si>
    <t>ret_GBPUSD_cum15</t>
  </si>
  <si>
    <t>ret_GC_cum15</t>
  </si>
  <si>
    <t>ret_JPYUSD_cum15</t>
  </si>
  <si>
    <t>ret_XLE_cum15</t>
  </si>
  <si>
    <t>ret_XLF_cum15</t>
  </si>
  <si>
    <t>ret_XLI_cum15</t>
  </si>
  <si>
    <t>ret_XLK_cum15</t>
  </si>
  <si>
    <t>ret_XLV_cum15</t>
  </si>
  <si>
    <t>ret_ZN_cum15</t>
  </si>
  <si>
    <t>ret_ZT_cum15</t>
  </si>
  <si>
    <t>ret_GSPC_cum15</t>
  </si>
  <si>
    <t>ret_RUT_cum15</t>
  </si>
  <si>
    <t>Method</t>
  </si>
  <si>
    <t>AR(1)</t>
  </si>
  <si>
    <t>NaN</t>
  </si>
  <si>
    <t>Fwd (Cp)</t>
  </si>
  <si>
    <t>Fwd (CV)</t>
  </si>
  <si>
    <t>Bwd (Cp)</t>
  </si>
  <si>
    <t>Bwd (CV)</t>
  </si>
  <si>
    <t>Ridge</t>
  </si>
  <si>
    <t>Lasso</t>
  </si>
  <si>
    <t>PCR</t>
  </si>
  <si>
    <t>PLS</t>
  </si>
  <si>
    <t>RF</t>
  </si>
  <si>
    <t>LGB</t>
  </si>
  <si>
    <t>Overall:</t>
  </si>
  <si>
    <t>median</t>
  </si>
  <si>
    <t>Avg of top decile</t>
  </si>
  <si>
    <t>bottom decial</t>
  </si>
  <si>
    <t xml:space="preserve">Median </t>
  </si>
  <si>
    <t>Avg top decile</t>
  </si>
  <si>
    <t>Avg bottom decile</t>
  </si>
  <si>
    <t>Note: Table shows OOS R-squared median, average OOS R squared of top and bottom decile per model over the whole sample, including all assets and cumulative horizons.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</si>
</sst>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000"/>
  </numFmts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top" wrapText="1"/>
    </xf>
    <xf numFmtId="166" fontId="0" fillId="0" borderId="0" xfId="0" applyNumberFormat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1B8A-BC67-124F-BC81-C9FE3270CB91}">
  <dimension ref="A1:BU47"/>
  <sheetViews>
    <sheetView tabSelected="1" workbookViewId="0">
      <selection activeCell="G41" sqref="G41"/>
    </sheetView>
  </sheetViews>
  <sheetFormatPr baseColWidth="10" defaultRowHeight="16" x14ac:dyDescent="0.2"/>
  <cols>
    <col min="2" max="2" width="15.33203125" bestFit="1" customWidth="1"/>
  </cols>
  <sheetData>
    <row r="1" spans="1:73" x14ac:dyDescent="0.2">
      <c r="A1" t="s">
        <v>0</v>
      </c>
    </row>
    <row r="2" spans="1:73" x14ac:dyDescent="0.2">
      <c r="A2" t="s">
        <v>1</v>
      </c>
    </row>
    <row r="3" spans="1:73" x14ac:dyDescent="0.2">
      <c r="A3" t="s">
        <v>0</v>
      </c>
    </row>
    <row r="4" spans="1:73" x14ac:dyDescent="0.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  <c r="BA4" t="s">
        <v>53</v>
      </c>
      <c r="BB4" t="s">
        <v>54</v>
      </c>
      <c r="BC4" t="s">
        <v>55</v>
      </c>
      <c r="BD4" t="s">
        <v>56</v>
      </c>
      <c r="BE4" t="s">
        <v>57</v>
      </c>
      <c r="BF4" t="s">
        <v>58</v>
      </c>
      <c r="BG4" t="s">
        <v>59</v>
      </c>
      <c r="BH4" t="s">
        <v>60</v>
      </c>
      <c r="BI4" t="s">
        <v>61</v>
      </c>
      <c r="BJ4" t="s">
        <v>62</v>
      </c>
      <c r="BK4" t="s">
        <v>63</v>
      </c>
      <c r="BL4" t="s">
        <v>64</v>
      </c>
      <c r="BM4" t="s">
        <v>65</v>
      </c>
      <c r="BN4" t="s">
        <v>66</v>
      </c>
      <c r="BO4" t="s">
        <v>67</v>
      </c>
      <c r="BP4" t="s">
        <v>68</v>
      </c>
      <c r="BQ4" t="s">
        <v>69</v>
      </c>
      <c r="BR4" t="s">
        <v>70</v>
      </c>
      <c r="BS4" t="s">
        <v>71</v>
      </c>
    </row>
    <row r="5" spans="1:73" x14ac:dyDescent="0.2">
      <c r="A5" t="s">
        <v>72</v>
      </c>
      <c r="BU5" s="1"/>
    </row>
    <row r="6" spans="1:73" x14ac:dyDescent="0.2">
      <c r="A6" t="s">
        <v>73</v>
      </c>
      <c r="B6">
        <v>-3.7959999999999999E-3</v>
      </c>
      <c r="C6">
        <v>-1.3514999999999999E-2</v>
      </c>
      <c r="D6">
        <v>-4.3449999999999999E-3</v>
      </c>
      <c r="E6">
        <v>6.5539999999999999E-3</v>
      </c>
      <c r="F6">
        <v>-1.8464000000000001E-2</v>
      </c>
      <c r="G6">
        <v>-1.1592E-2</v>
      </c>
      <c r="H6">
        <v>-1.3042E-2</v>
      </c>
      <c r="I6">
        <v>1.3079999999999999E-3</v>
      </c>
      <c r="J6">
        <v>4.9129999999999998E-3</v>
      </c>
      <c r="K6">
        <v>-2.33E-4</v>
      </c>
      <c r="L6">
        <v>-1.6620000000000001E-3</v>
      </c>
      <c r="M6">
        <v>-8.1899999999999994E-3</v>
      </c>
      <c r="N6">
        <v>-3.0720000000000001E-3</v>
      </c>
      <c r="O6">
        <v>-5.2839999999999996E-3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74</v>
      </c>
      <c r="BO6" t="s">
        <v>74</v>
      </c>
      <c r="BP6" t="s">
        <v>74</v>
      </c>
      <c r="BQ6" t="s">
        <v>74</v>
      </c>
      <c r="BR6" t="s">
        <v>74</v>
      </c>
      <c r="BS6" t="s">
        <v>74</v>
      </c>
      <c r="BU6" s="2"/>
    </row>
    <row r="7" spans="1:73" x14ac:dyDescent="0.2">
      <c r="A7" t="s">
        <v>75</v>
      </c>
      <c r="B7">
        <v>-0.98005699999999996</v>
      </c>
      <c r="C7">
        <v>-97.967265999999995</v>
      </c>
      <c r="D7">
        <v>-0.15084400000000001</v>
      </c>
      <c r="E7">
        <v>-5.8091999999999998E-2</v>
      </c>
      <c r="F7">
        <v>-4.1363589999999997</v>
      </c>
      <c r="G7">
        <v>-4.4631999999999998E-2</v>
      </c>
      <c r="H7">
        <v>-3.1538029999999999</v>
      </c>
      <c r="I7">
        <v>-6.8999999999999999E-3</v>
      </c>
      <c r="J7">
        <v>-4.1973999999999997E-2</v>
      </c>
      <c r="K7">
        <v>-1.9789999999999999E-3</v>
      </c>
      <c r="L7">
        <v>-0.13348399999999999</v>
      </c>
      <c r="M7">
        <v>-0.29858699999999999</v>
      </c>
      <c r="N7">
        <v>-2.4235E-2</v>
      </c>
      <c r="O7">
        <v>-5.5514000000000001E-2</v>
      </c>
      <c r="P7">
        <v>-2.5135049999999999</v>
      </c>
      <c r="Q7">
        <v>-11.209353999999999</v>
      </c>
      <c r="R7">
        <v>-0.18514800000000001</v>
      </c>
      <c r="S7">
        <v>-5.5891089999999997</v>
      </c>
      <c r="T7">
        <v>-0.501386</v>
      </c>
      <c r="U7">
        <v>-3.1740999999999998E-2</v>
      </c>
      <c r="V7">
        <v>-1.2159E-2</v>
      </c>
      <c r="W7">
        <v>-1.8637000000000001E-2</v>
      </c>
      <c r="X7">
        <v>-1.0595699999999999</v>
      </c>
      <c r="Y7">
        <v>-0.76644000000000001</v>
      </c>
      <c r="Z7">
        <v>-3.9090780000000001</v>
      </c>
      <c r="AA7">
        <v>-2.372941</v>
      </c>
      <c r="AB7">
        <v>-1.763431</v>
      </c>
      <c r="AC7">
        <v>-1.544262</v>
      </c>
      <c r="AD7">
        <v>-0.93659800000000004</v>
      </c>
      <c r="AE7">
        <v>-9.7174479999999992</v>
      </c>
      <c r="AF7">
        <v>-7.1884000000000003E-2</v>
      </c>
      <c r="AG7">
        <v>-2.4548179999999999</v>
      </c>
      <c r="AH7">
        <v>-3.4424000000000003E-2</v>
      </c>
      <c r="AI7">
        <v>-0.124788</v>
      </c>
      <c r="AJ7">
        <v>-1.8750530000000001</v>
      </c>
      <c r="AK7">
        <v>-1.1666620000000001</v>
      </c>
      <c r="AL7">
        <v>-0.33928700000000001</v>
      </c>
      <c r="AM7">
        <v>-0.68513800000000002</v>
      </c>
      <c r="AN7">
        <v>-1.6321669999999999</v>
      </c>
      <c r="AO7">
        <v>-1.7144870000000001</v>
      </c>
      <c r="AP7">
        <v>-1.350768</v>
      </c>
      <c r="AQ7">
        <v>-2.220574</v>
      </c>
      <c r="AR7">
        <v>-0.93911800000000001</v>
      </c>
      <c r="AS7">
        <v>-0.61216899999999996</v>
      </c>
      <c r="AT7">
        <v>-2.7057999999999999E-2</v>
      </c>
      <c r="AU7">
        <v>-1.1457820000000001</v>
      </c>
      <c r="AV7">
        <v>-6.2621999999999997E-2</v>
      </c>
      <c r="AW7">
        <v>3.5599999999999998E-4</v>
      </c>
      <c r="AX7">
        <v>-1.531415</v>
      </c>
      <c r="AY7">
        <v>-7.2894E-2</v>
      </c>
      <c r="AZ7">
        <v>-5.7576000000000002E-2</v>
      </c>
      <c r="BA7">
        <v>-5.6820000000000002E-2</v>
      </c>
      <c r="BB7">
        <v>-0.15240100000000001</v>
      </c>
      <c r="BC7">
        <v>1.7916999999999999E-2</v>
      </c>
      <c r="BD7">
        <v>-8.7065000000000003E-2</v>
      </c>
      <c r="BE7">
        <v>-8.6067000000000005E-2</v>
      </c>
      <c r="BF7">
        <v>-0.51763099999999995</v>
      </c>
      <c r="BG7">
        <v>-1.804303</v>
      </c>
      <c r="BH7">
        <v>-0.104952</v>
      </c>
      <c r="BI7">
        <v>-1.3909039999999999</v>
      </c>
      <c r="BJ7">
        <v>-7.7313999999999994E-2</v>
      </c>
      <c r="BK7">
        <v>-1.111E-2</v>
      </c>
      <c r="BL7">
        <v>-0.29078999999999999</v>
      </c>
      <c r="BM7">
        <v>-7.9182000000000002E-2</v>
      </c>
      <c r="BN7">
        <v>-2.9624000000000001E-2</v>
      </c>
      <c r="BO7">
        <v>-0.60147799999999996</v>
      </c>
      <c r="BP7">
        <v>-6.1323999999999997E-2</v>
      </c>
      <c r="BQ7">
        <v>1.3993999999999999E-2</v>
      </c>
      <c r="BR7">
        <v>-6.8505999999999997E-2</v>
      </c>
      <c r="BS7">
        <v>-3.7352999999999997E-2</v>
      </c>
      <c r="BU7" s="2"/>
    </row>
    <row r="8" spans="1:73" x14ac:dyDescent="0.2">
      <c r="A8" t="s">
        <v>76</v>
      </c>
      <c r="B8">
        <v>1.36E-4</v>
      </c>
      <c r="C8">
        <v>6.9999999999999994E-5</v>
      </c>
      <c r="D8">
        <v>-7.9999999999999996E-6</v>
      </c>
      <c r="E8">
        <v>1.1400000000000001E-4</v>
      </c>
      <c r="F8">
        <v>-3.7300000000000001E-4</v>
      </c>
      <c r="G8">
        <v>-1.95E-4</v>
      </c>
      <c r="H8">
        <v>-6.7000000000000002E-5</v>
      </c>
      <c r="I8">
        <v>9.0000000000000006E-5</v>
      </c>
      <c r="J8">
        <v>-1.34E-4</v>
      </c>
      <c r="K8">
        <v>1.35E-4</v>
      </c>
      <c r="L8">
        <v>1.0900000000000001E-4</v>
      </c>
      <c r="M8">
        <v>-1.0399999999999999E-4</v>
      </c>
      <c r="N8">
        <v>1.0000000000000001E-5</v>
      </c>
      <c r="O8">
        <v>-9.2E-5</v>
      </c>
      <c r="P8">
        <v>-1.73E-4</v>
      </c>
      <c r="Q8">
        <v>-6.8999999999999997E-5</v>
      </c>
      <c r="R8">
        <v>1.22E-4</v>
      </c>
      <c r="S8">
        <v>-3.9899999999999999E-4</v>
      </c>
      <c r="T8">
        <v>-7.8200000000000003E-4</v>
      </c>
      <c r="U8">
        <v>3.565E-3</v>
      </c>
      <c r="V8">
        <v>-7.9000000000000001E-4</v>
      </c>
      <c r="W8">
        <v>-6.7500000000000004E-4</v>
      </c>
      <c r="X8">
        <v>-8.1499999999999997E-4</v>
      </c>
      <c r="Y8">
        <v>2.5138000000000001E-2</v>
      </c>
      <c r="Z8">
        <v>-9.1280000000000007E-3</v>
      </c>
      <c r="AA8">
        <v>-6.4700000000000001E-4</v>
      </c>
      <c r="AB8">
        <v>3.1546999999999999E-2</v>
      </c>
      <c r="AC8">
        <v>-1.0331E-2</v>
      </c>
      <c r="AD8">
        <v>-7.1400000000000001E-4</v>
      </c>
      <c r="AE8">
        <v>-4.3199999999999998E-4</v>
      </c>
      <c r="AF8">
        <v>1.4E-5</v>
      </c>
      <c r="AG8">
        <v>-7.36E-4</v>
      </c>
      <c r="AH8">
        <v>-9.3000000000000005E-4</v>
      </c>
      <c r="AI8">
        <v>4.0547E-2</v>
      </c>
      <c r="AJ8">
        <v>-1.139E-3</v>
      </c>
      <c r="AK8">
        <v>-1.134E-3</v>
      </c>
      <c r="AL8">
        <v>3.7657999999999997E-2</v>
      </c>
      <c r="AM8">
        <v>3.0266000000000001E-2</v>
      </c>
      <c r="AN8">
        <v>-6.6699999999999995E-4</v>
      </c>
      <c r="AO8">
        <v>-8.5300000000000003E-4</v>
      </c>
      <c r="AP8">
        <v>-1.093E-3</v>
      </c>
      <c r="AQ8">
        <v>-1.2570000000000001E-3</v>
      </c>
      <c r="AR8">
        <v>-9.59E-4</v>
      </c>
      <c r="AS8">
        <v>-1.235E-3</v>
      </c>
      <c r="AT8">
        <v>-1.268E-3</v>
      </c>
      <c r="AU8">
        <v>-1.6659999999999999E-3</v>
      </c>
      <c r="AV8">
        <v>-1.5349999999999999E-3</v>
      </c>
      <c r="AW8">
        <v>6.1549999999999999E-3</v>
      </c>
      <c r="AX8">
        <v>-1.361E-3</v>
      </c>
      <c r="AY8">
        <v>-1.217E-3</v>
      </c>
      <c r="AZ8">
        <v>-1.3190000000000001E-3</v>
      </c>
      <c r="BA8">
        <v>-5.9800000000000001E-4</v>
      </c>
      <c r="BB8">
        <v>-1.949E-3</v>
      </c>
      <c r="BC8">
        <v>-1.931E-3</v>
      </c>
      <c r="BD8">
        <v>-1.039E-3</v>
      </c>
      <c r="BE8">
        <v>-4.2451999999999997E-2</v>
      </c>
      <c r="BF8">
        <v>-2.0860000000000002E-3</v>
      </c>
      <c r="BG8">
        <v>-2.2230000000000001E-3</v>
      </c>
      <c r="BH8">
        <v>-3.5682999999999999E-2</v>
      </c>
      <c r="BI8">
        <v>-2.3159999999999999E-3</v>
      </c>
      <c r="BJ8">
        <v>-2.2729999999999998E-3</v>
      </c>
      <c r="BK8">
        <v>-1.9750000000000002E-3</v>
      </c>
      <c r="BL8">
        <v>-1.9151000000000001E-2</v>
      </c>
      <c r="BM8">
        <v>-1.9059999999999999E-3</v>
      </c>
      <c r="BN8">
        <v>-2.209E-3</v>
      </c>
      <c r="BO8">
        <v>-1.083E-3</v>
      </c>
      <c r="BP8">
        <v>-2.7060000000000001E-3</v>
      </c>
      <c r="BQ8">
        <v>-3.0000000000000001E-3</v>
      </c>
      <c r="BR8">
        <v>-1.7279999999999999E-3</v>
      </c>
      <c r="BS8">
        <v>-2.013E-3</v>
      </c>
      <c r="BU8" s="2"/>
    </row>
    <row r="9" spans="1:73" x14ac:dyDescent="0.2">
      <c r="A9" t="s">
        <v>77</v>
      </c>
      <c r="B9">
        <v>-0.99528799999999995</v>
      </c>
      <c r="C9">
        <v>-97.967265999999995</v>
      </c>
      <c r="D9">
        <v>-0.15068799999999999</v>
      </c>
      <c r="E9">
        <v>-5.8091999999999998E-2</v>
      </c>
      <c r="F9">
        <v>-4.1408860000000001</v>
      </c>
      <c r="G9">
        <v>-4.4631999999999998E-2</v>
      </c>
      <c r="H9">
        <v>-3.1538029999999999</v>
      </c>
      <c r="I9">
        <v>-6.8999999999999999E-3</v>
      </c>
      <c r="J9">
        <v>-4.1973999999999997E-2</v>
      </c>
      <c r="K9">
        <v>-1.9789999999999999E-3</v>
      </c>
      <c r="L9">
        <v>-0.13348399999999999</v>
      </c>
      <c r="M9">
        <v>-0.77562699999999996</v>
      </c>
      <c r="N9">
        <v>-2.4235E-2</v>
      </c>
      <c r="O9">
        <v>-5.4918000000000002E-2</v>
      </c>
      <c r="P9">
        <v>-2.3692319999999998</v>
      </c>
      <c r="Q9">
        <v>-10.161422</v>
      </c>
      <c r="R9">
        <v>-0.19059000000000001</v>
      </c>
      <c r="S9">
        <v>-5.5891089999999997</v>
      </c>
      <c r="T9">
        <v>-0.501386</v>
      </c>
      <c r="U9">
        <v>-3.1740999999999998E-2</v>
      </c>
      <c r="V9">
        <v>-1.2159E-2</v>
      </c>
      <c r="W9">
        <v>-1.2074E-2</v>
      </c>
      <c r="X9">
        <v>-1.061609</v>
      </c>
      <c r="Y9">
        <v>-0.76644000000000001</v>
      </c>
      <c r="Z9">
        <v>-3.9345720000000002</v>
      </c>
      <c r="AA9">
        <v>-2.372941</v>
      </c>
      <c r="AB9">
        <v>-1.758038</v>
      </c>
      <c r="AC9">
        <v>-1.544262</v>
      </c>
      <c r="AD9">
        <v>-0.93659800000000004</v>
      </c>
      <c r="AE9">
        <v>-9.7174479999999992</v>
      </c>
      <c r="AF9">
        <v>-0.36882100000000001</v>
      </c>
      <c r="AG9">
        <v>-2.4548179999999999</v>
      </c>
      <c r="AH9">
        <v>-3.4424000000000003E-2</v>
      </c>
      <c r="AI9">
        <v>-0.124788</v>
      </c>
      <c r="AJ9">
        <v>-1.845343</v>
      </c>
      <c r="AK9">
        <v>-1.162893</v>
      </c>
      <c r="AL9">
        <v>-0.335202</v>
      </c>
      <c r="AM9">
        <v>-0.68513800000000002</v>
      </c>
      <c r="AN9">
        <v>-1.6321669999999999</v>
      </c>
      <c r="AO9">
        <v>-1.7144870000000001</v>
      </c>
      <c r="AP9">
        <v>-1.350768</v>
      </c>
      <c r="AQ9">
        <v>-2.220574</v>
      </c>
      <c r="AR9">
        <v>-0.93911800000000001</v>
      </c>
      <c r="AS9">
        <v>-3.947838</v>
      </c>
      <c r="AT9">
        <v>-2.7057999999999999E-2</v>
      </c>
      <c r="AU9">
        <v>-1.1457820000000001</v>
      </c>
      <c r="AV9">
        <v>-6.2621999999999997E-2</v>
      </c>
      <c r="AW9">
        <v>3.5599999999999998E-4</v>
      </c>
      <c r="AX9">
        <v>-1.532743</v>
      </c>
      <c r="AY9">
        <v>-7.2894E-2</v>
      </c>
      <c r="AZ9">
        <v>-6.0602999999999997E-2</v>
      </c>
      <c r="BA9">
        <v>-5.6820000000000002E-2</v>
      </c>
      <c r="BB9">
        <v>-0.13743900000000001</v>
      </c>
      <c r="BC9">
        <v>1.7916999999999999E-2</v>
      </c>
      <c r="BD9">
        <v>-8.7065000000000003E-2</v>
      </c>
      <c r="BE9">
        <v>-8.6152999999999993E-2</v>
      </c>
      <c r="BF9">
        <v>-0.51763099999999995</v>
      </c>
      <c r="BG9">
        <v>-1.804303</v>
      </c>
      <c r="BH9">
        <v>-0.104952</v>
      </c>
      <c r="BI9">
        <v>-1.3909039999999999</v>
      </c>
      <c r="BJ9">
        <v>-7.7313999999999994E-2</v>
      </c>
      <c r="BK9">
        <v>-1.111E-2</v>
      </c>
      <c r="BL9">
        <v>-0.29786699999999999</v>
      </c>
      <c r="BM9">
        <v>-7.9182000000000002E-2</v>
      </c>
      <c r="BN9">
        <v>-3.1702000000000001E-2</v>
      </c>
      <c r="BO9">
        <v>-0.60147799999999996</v>
      </c>
      <c r="BP9">
        <v>-0.14099900000000001</v>
      </c>
      <c r="BQ9">
        <v>1.6433E-2</v>
      </c>
      <c r="BR9">
        <v>-6.8505999999999997E-2</v>
      </c>
      <c r="BS9">
        <v>-3.7352999999999997E-2</v>
      </c>
      <c r="BU9" s="2"/>
    </row>
    <row r="10" spans="1:73" x14ac:dyDescent="0.2">
      <c r="A10" t="s">
        <v>78</v>
      </c>
      <c r="B10">
        <v>1.36E-4</v>
      </c>
      <c r="C10">
        <v>6.9999999999999994E-5</v>
      </c>
      <c r="D10">
        <v>-7.9999999999999996E-6</v>
      </c>
      <c r="E10">
        <v>1.1400000000000001E-4</v>
      </c>
      <c r="F10">
        <v>-3.7300000000000001E-4</v>
      </c>
      <c r="G10">
        <v>-1.95E-4</v>
      </c>
      <c r="H10">
        <v>-6.7000000000000002E-5</v>
      </c>
      <c r="I10">
        <v>9.0000000000000006E-5</v>
      </c>
      <c r="J10">
        <v>-1.2699E-2</v>
      </c>
      <c r="K10">
        <v>1.35E-4</v>
      </c>
      <c r="L10">
        <v>4.15E-3</v>
      </c>
      <c r="M10">
        <v>-1.0399999999999999E-4</v>
      </c>
      <c r="N10">
        <v>1.0000000000000001E-5</v>
      </c>
      <c r="O10">
        <v>-9.2E-5</v>
      </c>
      <c r="P10">
        <v>-1.73E-4</v>
      </c>
      <c r="Q10">
        <v>-6.8999999999999997E-5</v>
      </c>
      <c r="R10">
        <v>1.22E-4</v>
      </c>
      <c r="S10">
        <v>-3.9899999999999999E-4</v>
      </c>
      <c r="T10">
        <v>-7.8200000000000003E-4</v>
      </c>
      <c r="U10">
        <v>-4.5580000000000004E-3</v>
      </c>
      <c r="V10">
        <v>1.8238999999999998E-2</v>
      </c>
      <c r="W10">
        <v>-6.7500000000000004E-4</v>
      </c>
      <c r="X10">
        <v>-8.1499999999999997E-4</v>
      </c>
      <c r="Y10">
        <v>-1.5200000000000001E-4</v>
      </c>
      <c r="Z10">
        <v>1.9699999999999999E-4</v>
      </c>
      <c r="AA10">
        <v>-6.4700000000000001E-4</v>
      </c>
      <c r="AB10">
        <v>-6.7000000000000002E-4</v>
      </c>
      <c r="AC10">
        <v>-8.4199999999999998E-4</v>
      </c>
      <c r="AD10">
        <v>-7.1400000000000001E-4</v>
      </c>
      <c r="AE10">
        <v>-4.3199999999999998E-4</v>
      </c>
      <c r="AF10">
        <v>1.4E-5</v>
      </c>
      <c r="AG10">
        <v>-7.36E-4</v>
      </c>
      <c r="AH10">
        <v>-9.3000000000000005E-4</v>
      </c>
      <c r="AI10">
        <v>4.0547E-2</v>
      </c>
      <c r="AJ10">
        <v>-1.9059999999999999E-3</v>
      </c>
      <c r="AK10">
        <v>-1.134E-3</v>
      </c>
      <c r="AL10">
        <v>3.9673E-2</v>
      </c>
      <c r="AM10">
        <v>-4.5600000000000003E-4</v>
      </c>
      <c r="AN10">
        <v>-6.6699999999999995E-4</v>
      </c>
      <c r="AO10">
        <v>-8.5300000000000003E-4</v>
      </c>
      <c r="AP10">
        <v>-1.093E-3</v>
      </c>
      <c r="AQ10">
        <v>2.5839999999999998E-2</v>
      </c>
      <c r="AR10">
        <v>-4.4669E-2</v>
      </c>
      <c r="AS10">
        <v>-1.235E-3</v>
      </c>
      <c r="AT10">
        <v>-1.268E-3</v>
      </c>
      <c r="AU10">
        <v>-1.6659999999999999E-3</v>
      </c>
      <c r="AV10">
        <v>-1.5349999999999999E-3</v>
      </c>
      <c r="AW10">
        <v>7.816E-3</v>
      </c>
      <c r="AX10">
        <v>-1.361E-3</v>
      </c>
      <c r="AY10">
        <v>-1.217E-3</v>
      </c>
      <c r="AZ10">
        <v>-1.3190000000000001E-3</v>
      </c>
      <c r="BA10">
        <v>-5.9800000000000001E-4</v>
      </c>
      <c r="BB10">
        <v>-1.949E-3</v>
      </c>
      <c r="BC10">
        <v>-1.931E-3</v>
      </c>
      <c r="BD10">
        <v>-1.039E-3</v>
      </c>
      <c r="BE10">
        <v>-1.3940000000000001E-3</v>
      </c>
      <c r="BF10">
        <v>-7.3922000000000002E-2</v>
      </c>
      <c r="BG10">
        <v>-2.2230000000000001E-3</v>
      </c>
      <c r="BH10">
        <v>-2.1911E-2</v>
      </c>
      <c r="BI10">
        <v>-2.3159999999999999E-3</v>
      </c>
      <c r="BJ10">
        <v>-2.2729999999999998E-3</v>
      </c>
      <c r="BK10">
        <v>-1.9750000000000002E-3</v>
      </c>
      <c r="BL10">
        <v>-1.9151000000000001E-2</v>
      </c>
      <c r="BM10">
        <v>-2.6310000000000001E-3</v>
      </c>
      <c r="BN10">
        <v>-2.209E-3</v>
      </c>
      <c r="BO10">
        <v>-1.083E-3</v>
      </c>
      <c r="BP10">
        <v>-2.7060000000000001E-3</v>
      </c>
      <c r="BQ10">
        <v>-3.0000000000000001E-3</v>
      </c>
      <c r="BR10">
        <v>1.3643000000000001E-2</v>
      </c>
      <c r="BS10">
        <v>8.6449999999999999E-3</v>
      </c>
      <c r="BU10" s="2"/>
    </row>
    <row r="11" spans="1:73" x14ac:dyDescent="0.2">
      <c r="A11" t="s">
        <v>79</v>
      </c>
      <c r="B11">
        <v>1.36E-4</v>
      </c>
      <c r="C11">
        <v>6.9999999999999994E-5</v>
      </c>
      <c r="D11">
        <v>-7.9999999999999996E-6</v>
      </c>
      <c r="E11">
        <v>1.1400000000000001E-4</v>
      </c>
      <c r="F11">
        <v>-3.7300000000000001E-4</v>
      </c>
      <c r="G11">
        <v>-1.95E-4</v>
      </c>
      <c r="H11">
        <v>-6.7000000000000002E-5</v>
      </c>
      <c r="I11">
        <v>9.0000000000000006E-5</v>
      </c>
      <c r="J11">
        <v>-1.34E-4</v>
      </c>
      <c r="K11">
        <v>1.35E-4</v>
      </c>
      <c r="L11">
        <v>-0.29008099999999998</v>
      </c>
      <c r="M11">
        <v>-0.32932400000000001</v>
      </c>
      <c r="N11">
        <v>1.0000000000000001E-5</v>
      </c>
      <c r="O11">
        <v>-9.2E-5</v>
      </c>
      <c r="P11">
        <v>-1.73E-4</v>
      </c>
      <c r="Q11">
        <v>-6.8999999999999997E-5</v>
      </c>
      <c r="R11">
        <v>-0.31255500000000003</v>
      </c>
      <c r="S11">
        <v>-3.9899999999999999E-4</v>
      </c>
      <c r="T11">
        <v>-1.0003E-2</v>
      </c>
      <c r="U11">
        <v>-3.6910249999999998</v>
      </c>
      <c r="V11">
        <v>-7.9000000000000001E-4</v>
      </c>
      <c r="W11">
        <v>-1.385764</v>
      </c>
      <c r="X11">
        <v>-0.55001699999999998</v>
      </c>
      <c r="Y11">
        <v>-0.28992800000000002</v>
      </c>
      <c r="Z11">
        <v>-2.8953229999999999</v>
      </c>
      <c r="AA11">
        <v>-0.36346099999999998</v>
      </c>
      <c r="AB11">
        <v>-0.73284499999999997</v>
      </c>
      <c r="AC11">
        <v>-1.266899</v>
      </c>
      <c r="AD11">
        <v>-7.1400000000000001E-4</v>
      </c>
      <c r="AE11">
        <v>-4.3199999999999998E-4</v>
      </c>
      <c r="AF11">
        <v>-0.853132</v>
      </c>
      <c r="AG11">
        <v>-7.36E-4</v>
      </c>
      <c r="AH11">
        <v>-3.1220000000000002E-3</v>
      </c>
      <c r="AI11">
        <v>-1.2999999999999999E-3</v>
      </c>
      <c r="AJ11">
        <v>-0.85357000000000005</v>
      </c>
      <c r="AK11">
        <v>-0.72860100000000005</v>
      </c>
      <c r="AL11">
        <v>-0.21721299999999999</v>
      </c>
      <c r="AM11">
        <v>-1.7468000000000001E-2</v>
      </c>
      <c r="AN11">
        <v>-0.57698700000000003</v>
      </c>
      <c r="AO11">
        <v>-6.5304000000000001E-2</v>
      </c>
      <c r="AP11">
        <v>-0.38940399999999997</v>
      </c>
      <c r="AQ11">
        <v>-1.258E-3</v>
      </c>
      <c r="AR11">
        <v>-9.59E-4</v>
      </c>
      <c r="AS11">
        <v>-1.235E-3</v>
      </c>
      <c r="AT11">
        <v>-1.38601</v>
      </c>
      <c r="AU11">
        <v>-1.6659999999999999E-3</v>
      </c>
      <c r="AV11">
        <v>-0.58050599999999997</v>
      </c>
      <c r="AW11">
        <v>-1.3339999999999999E-3</v>
      </c>
      <c r="AX11">
        <v>-0.13877900000000001</v>
      </c>
      <c r="AY11">
        <v>-2.853011</v>
      </c>
      <c r="AZ11">
        <v>-1.3190000000000001E-3</v>
      </c>
      <c r="BA11">
        <v>-5.9800000000000001E-4</v>
      </c>
      <c r="BB11">
        <v>-0.183946</v>
      </c>
      <c r="BC11">
        <v>-8.5629999999999998E-2</v>
      </c>
      <c r="BD11">
        <v>-1.039E-3</v>
      </c>
      <c r="BE11">
        <v>-1.3940000000000001E-3</v>
      </c>
      <c r="BF11">
        <v>-2.0860000000000002E-3</v>
      </c>
      <c r="BG11">
        <v>-2.2230000000000001E-3</v>
      </c>
      <c r="BH11">
        <v>-0.194045</v>
      </c>
      <c r="BI11">
        <v>-2.3159999999999999E-3</v>
      </c>
      <c r="BJ11">
        <v>-0.54419099999999998</v>
      </c>
      <c r="BK11">
        <v>-1.9750000000000002E-3</v>
      </c>
      <c r="BL11">
        <v>5.705E-3</v>
      </c>
      <c r="BM11">
        <v>-1.9059999999999999E-3</v>
      </c>
      <c r="BN11">
        <v>-2.209E-3</v>
      </c>
      <c r="BO11">
        <v>-1.083E-3</v>
      </c>
      <c r="BP11">
        <v>-0.29682399999999998</v>
      </c>
      <c r="BQ11">
        <v>-0.332957</v>
      </c>
      <c r="BR11">
        <v>-1.7279999999999999E-3</v>
      </c>
      <c r="BS11">
        <v>-2.013E-3</v>
      </c>
      <c r="BU11" s="2"/>
    </row>
    <row r="12" spans="1:73" x14ac:dyDescent="0.2">
      <c r="A12" t="s">
        <v>80</v>
      </c>
      <c r="B12">
        <v>1.36E-4</v>
      </c>
      <c r="C12">
        <v>6.9999999999999994E-5</v>
      </c>
      <c r="D12">
        <v>-7.9999999999999996E-6</v>
      </c>
      <c r="E12">
        <v>3.4E-5</v>
      </c>
      <c r="F12">
        <v>-7.86266</v>
      </c>
      <c r="G12">
        <v>-1.46E-4</v>
      </c>
      <c r="H12">
        <v>-6.7000000000000002E-5</v>
      </c>
      <c r="I12">
        <v>9.7E-5</v>
      </c>
      <c r="J12">
        <v>-2.5799999999999998E-4</v>
      </c>
      <c r="K12">
        <v>-5.9500000000000004E-4</v>
      </c>
      <c r="L12">
        <v>-2.6306E-2</v>
      </c>
      <c r="M12">
        <v>5.7450000000000001E-3</v>
      </c>
      <c r="N12">
        <v>1.0000000000000001E-5</v>
      </c>
      <c r="O12">
        <v>-9.2E-5</v>
      </c>
      <c r="P12">
        <v>6.9099999999999999E-4</v>
      </c>
      <c r="Q12">
        <v>-6.8999999999999997E-5</v>
      </c>
      <c r="R12">
        <v>-0.131436</v>
      </c>
      <c r="S12">
        <v>-3.9899999999999999E-4</v>
      </c>
      <c r="T12">
        <v>-2.0170000000000001E-3</v>
      </c>
      <c r="U12">
        <v>-1.956839</v>
      </c>
      <c r="V12">
        <v>-3.7123000000000003E-2</v>
      </c>
      <c r="W12">
        <v>-0.42161300000000002</v>
      </c>
      <c r="X12">
        <v>-0.18518000000000001</v>
      </c>
      <c r="Y12">
        <v>-0.21465300000000001</v>
      </c>
      <c r="Z12">
        <v>-1.098598</v>
      </c>
      <c r="AA12">
        <v>1.5375E-2</v>
      </c>
      <c r="AB12">
        <v>-0.41419499999999998</v>
      </c>
      <c r="AC12">
        <v>-2.4302899999999998</v>
      </c>
      <c r="AD12">
        <v>-7.1400000000000001E-4</v>
      </c>
      <c r="AE12">
        <v>-4.3199999999999998E-4</v>
      </c>
      <c r="AF12">
        <v>-1.6993999999999999E-2</v>
      </c>
      <c r="AG12">
        <v>-7.36E-4</v>
      </c>
      <c r="AH12">
        <v>-6.87E-4</v>
      </c>
      <c r="AI12">
        <v>-0.36923600000000001</v>
      </c>
      <c r="AJ12">
        <v>-1.6254000000000001E-2</v>
      </c>
      <c r="AK12">
        <v>-0.34279599999999999</v>
      </c>
      <c r="AL12">
        <v>-2.7210999999999999E-2</v>
      </c>
      <c r="AM12">
        <v>-4.5702E-2</v>
      </c>
      <c r="AN12">
        <v>6.4819999999999999E-3</v>
      </c>
      <c r="AO12">
        <v>4.6889999999999996E-3</v>
      </c>
      <c r="AP12">
        <v>-0.13789299999999999</v>
      </c>
      <c r="AQ12">
        <v>-0.39648699999999998</v>
      </c>
      <c r="AR12">
        <v>-9.59E-4</v>
      </c>
      <c r="AS12">
        <v>-1.235E-3</v>
      </c>
      <c r="AT12">
        <v>-8.7631000000000001E-2</v>
      </c>
      <c r="AU12">
        <v>-1.6659999999999999E-3</v>
      </c>
      <c r="AV12">
        <v>-7.6490000000000004E-3</v>
      </c>
      <c r="AW12">
        <v>-0.34970899999999999</v>
      </c>
      <c r="AX12">
        <v>-3.1220000000000002E-3</v>
      </c>
      <c r="AY12">
        <v>-1.438E-3</v>
      </c>
      <c r="AZ12">
        <v>-1.39E-3</v>
      </c>
      <c r="BA12">
        <v>-6.69E-4</v>
      </c>
      <c r="BB12">
        <v>-2.6670000000000001E-3</v>
      </c>
      <c r="BC12">
        <v>1.1899E-2</v>
      </c>
      <c r="BD12">
        <v>-1.106E-3</v>
      </c>
      <c r="BE12">
        <v>-0.90357399999999999</v>
      </c>
      <c r="BF12">
        <v>-2.1099999999999999E-3</v>
      </c>
      <c r="BG12">
        <v>-2.2230000000000001E-3</v>
      </c>
      <c r="BH12">
        <v>-2.5874000000000001E-2</v>
      </c>
      <c r="BI12">
        <v>-2.3159999999999999E-3</v>
      </c>
      <c r="BJ12">
        <v>-1.1749000000000001E-2</v>
      </c>
      <c r="BK12">
        <v>-2.4840000000000001E-3</v>
      </c>
      <c r="BL12">
        <v>-6.1233000000000003E-2</v>
      </c>
      <c r="BM12">
        <v>-3.2000000000000003E-4</v>
      </c>
      <c r="BN12">
        <v>-2.261E-3</v>
      </c>
      <c r="BO12">
        <v>-2.1800000000000001E-4</v>
      </c>
      <c r="BP12">
        <v>-1.6249999999999999E-3</v>
      </c>
      <c r="BQ12">
        <v>5.0299999999999997E-3</v>
      </c>
      <c r="BR12">
        <v>-1.1310000000000001E-3</v>
      </c>
      <c r="BS12">
        <v>-1.2570000000000001E-3</v>
      </c>
      <c r="BU12" s="2"/>
    </row>
    <row r="13" spans="1:73" x14ac:dyDescent="0.2">
      <c r="A13" t="s">
        <v>81</v>
      </c>
      <c r="B13">
        <v>1.668E-3</v>
      </c>
      <c r="C13">
        <v>-85.944875999999994</v>
      </c>
      <c r="D13">
        <v>-3.503E-3</v>
      </c>
      <c r="E13">
        <v>1.6770000000000001E-3</v>
      </c>
      <c r="F13">
        <v>-66.365870000000001</v>
      </c>
      <c r="G13">
        <v>3.2600000000000001E-4</v>
      </c>
      <c r="H13">
        <v>5.0159999999999996E-3</v>
      </c>
      <c r="I13">
        <v>-1.8627000000000001E-2</v>
      </c>
      <c r="J13">
        <v>-7.0799999999999997E-4</v>
      </c>
      <c r="K13">
        <v>-0.600159</v>
      </c>
      <c r="L13">
        <v>-9.9520000000000008E-3</v>
      </c>
      <c r="M13">
        <v>-0.48344199999999998</v>
      </c>
      <c r="N13">
        <v>-2.5049999999999998E-3</v>
      </c>
      <c r="O13">
        <v>-2.562E-3</v>
      </c>
      <c r="P13">
        <v>1.106E-3</v>
      </c>
      <c r="Q13">
        <v>-2.0699999999999998E-3</v>
      </c>
      <c r="R13">
        <v>-0.230876</v>
      </c>
      <c r="S13">
        <v>-1.5692000000000001E-2</v>
      </c>
      <c r="T13">
        <v>-4.2273999999999999E-2</v>
      </c>
      <c r="U13">
        <v>-4.4672419999999997</v>
      </c>
      <c r="V13">
        <v>-1.6111E-2</v>
      </c>
      <c r="W13">
        <v>-1.5018640000000001</v>
      </c>
      <c r="X13">
        <v>-1.23699</v>
      </c>
      <c r="Y13">
        <v>-1.031579</v>
      </c>
      <c r="Z13">
        <v>-5.8376999999999998E-2</v>
      </c>
      <c r="AA13">
        <v>-0.129583</v>
      </c>
      <c r="AB13">
        <v>-2.399149</v>
      </c>
      <c r="AC13">
        <v>-2.2124799999999998</v>
      </c>
      <c r="AD13">
        <v>-6.2680000000000001E-3</v>
      </c>
      <c r="AE13">
        <v>-2.9E-4</v>
      </c>
      <c r="AF13">
        <v>-0.67544300000000002</v>
      </c>
      <c r="AG13">
        <v>-2.8458000000000001E-2</v>
      </c>
      <c r="AH13">
        <v>-9.809E-3</v>
      </c>
      <c r="AI13">
        <v>-1.2955000000000001</v>
      </c>
      <c r="AJ13">
        <v>-0.50103399999999998</v>
      </c>
      <c r="AK13">
        <v>-0.70794199999999996</v>
      </c>
      <c r="AL13">
        <v>-0.83954899999999999</v>
      </c>
      <c r="AM13">
        <v>-0.87476799999999999</v>
      </c>
      <c r="AN13">
        <v>-4.6649000000000003E-2</v>
      </c>
      <c r="AO13">
        <v>-3.9600000000000003E-2</v>
      </c>
      <c r="AP13">
        <v>-1.8532660000000001</v>
      </c>
      <c r="AQ13">
        <v>-2.5105919999999999</v>
      </c>
      <c r="AR13">
        <v>-8.2159999999999993E-3</v>
      </c>
      <c r="AS13">
        <v>-4.4019999999999997E-3</v>
      </c>
      <c r="AT13">
        <v>-0.807778</v>
      </c>
      <c r="AU13">
        <v>-1.89577</v>
      </c>
      <c r="AV13">
        <v>-6.8765999999999994E-2</v>
      </c>
      <c r="AW13">
        <v>-0.480514</v>
      </c>
      <c r="AX13">
        <v>-1.7371999999999999E-2</v>
      </c>
      <c r="AY13">
        <v>-3.0690000000000001E-3</v>
      </c>
      <c r="AZ13">
        <v>-0.87604499999999996</v>
      </c>
      <c r="BA13">
        <v>-1.7359999999999999E-3</v>
      </c>
      <c r="BB13">
        <v>-4.3034999999999997E-2</v>
      </c>
      <c r="BC13">
        <v>-1.8679999999999999E-2</v>
      </c>
      <c r="BD13">
        <v>-5.0029999999999996E-3</v>
      </c>
      <c r="BE13">
        <v>-0.86969099999999999</v>
      </c>
      <c r="BF13">
        <v>-9.3480000000000004E-3</v>
      </c>
      <c r="BG13">
        <v>-1.3589E-2</v>
      </c>
      <c r="BH13">
        <v>-3.5511000000000001E-2</v>
      </c>
      <c r="BI13">
        <v>-2.4514000000000001E-2</v>
      </c>
      <c r="BJ13">
        <v>-5.4844999999999998E-2</v>
      </c>
      <c r="BK13">
        <v>-3.4910000000000002E-3</v>
      </c>
      <c r="BL13">
        <v>-3.1906999999999998E-2</v>
      </c>
      <c r="BM13">
        <v>-4.3160000000000004E-3</v>
      </c>
      <c r="BN13">
        <v>-5.5649999999999996E-3</v>
      </c>
      <c r="BO13">
        <v>-6.3699999999999998E-4</v>
      </c>
      <c r="BP13">
        <v>-4.3685000000000002E-2</v>
      </c>
      <c r="BQ13">
        <v>-7.6819999999999999E-2</v>
      </c>
      <c r="BR13">
        <v>-6.3309999999999998E-3</v>
      </c>
      <c r="BS13">
        <v>-6.0359999999999997E-3</v>
      </c>
      <c r="BU13" s="2"/>
    </row>
    <row r="14" spans="1:73" x14ac:dyDescent="0.2">
      <c r="A14" t="s">
        <v>82</v>
      </c>
      <c r="B14">
        <v>-0.27992</v>
      </c>
      <c r="C14">
        <v>-117.642706</v>
      </c>
      <c r="D14">
        <v>-0.287526</v>
      </c>
      <c r="E14">
        <v>-2.9390930000000002</v>
      </c>
      <c r="F14">
        <v>-54.614483</v>
      </c>
      <c r="G14">
        <v>-2.5331290000000002</v>
      </c>
      <c r="H14">
        <v>-3.969319</v>
      </c>
      <c r="I14">
        <v>-3.0409109999999999</v>
      </c>
      <c r="J14">
        <v>-2.6846909999999999</v>
      </c>
      <c r="K14">
        <v>-2.1665610000000002</v>
      </c>
      <c r="L14">
        <v>-0.21976399999999999</v>
      </c>
      <c r="M14">
        <v>2.0690000000000001E-3</v>
      </c>
      <c r="N14">
        <v>-4.44625</v>
      </c>
      <c r="O14">
        <v>-4.7432540000000003</v>
      </c>
      <c r="P14">
        <v>-0.78913299999999997</v>
      </c>
      <c r="Q14">
        <v>-1.241933</v>
      </c>
      <c r="R14">
        <v>-1.8346000000000001E-2</v>
      </c>
      <c r="S14">
        <v>-5.1777490000000004</v>
      </c>
      <c r="T14">
        <v>-1.7035999999999999E-2</v>
      </c>
      <c r="U14">
        <v>-2.613299</v>
      </c>
      <c r="V14">
        <v>-2.2083490000000001</v>
      </c>
      <c r="W14">
        <v>-2.2771349999999999</v>
      </c>
      <c r="X14">
        <v>-2.5626410000000002</v>
      </c>
      <c r="Y14">
        <v>-0.92123900000000003</v>
      </c>
      <c r="Z14">
        <v>-7.9782000000000006E-2</v>
      </c>
      <c r="AA14">
        <v>3.2957E-2</v>
      </c>
      <c r="AB14">
        <v>-2.6206689999999999</v>
      </c>
      <c r="AC14">
        <v>-2.8099639999999999</v>
      </c>
      <c r="AD14">
        <v>-0.364541</v>
      </c>
      <c r="AE14">
        <v>-1.8836489999999999</v>
      </c>
      <c r="AF14">
        <v>-0.83970800000000001</v>
      </c>
      <c r="AG14">
        <v>-1.7168350000000001</v>
      </c>
      <c r="AH14">
        <v>-3.0848E-2</v>
      </c>
      <c r="AI14">
        <v>-3.2280039999999999</v>
      </c>
      <c r="AJ14">
        <v>-1.3985399999999999</v>
      </c>
      <c r="AK14">
        <v>-2.2874599999999998</v>
      </c>
      <c r="AL14">
        <v>-1.8868549999999999</v>
      </c>
      <c r="AM14">
        <v>-1.4570129999999999</v>
      </c>
      <c r="AN14">
        <v>-9.1649999999999995E-3</v>
      </c>
      <c r="AO14">
        <v>2.0008999999999999E-2</v>
      </c>
      <c r="AP14">
        <v>-3.604946</v>
      </c>
      <c r="AQ14">
        <v>-4.0861660000000004</v>
      </c>
      <c r="AR14">
        <v>-0.82971499999999998</v>
      </c>
      <c r="AS14">
        <v>-1.6036029999999999</v>
      </c>
      <c r="AT14">
        <v>-1.4122319999999999</v>
      </c>
      <c r="AU14">
        <v>-3.1623770000000002</v>
      </c>
      <c r="AV14">
        <v>-0.13046099999999999</v>
      </c>
      <c r="AW14">
        <v>-0.76795599999999997</v>
      </c>
      <c r="AX14">
        <v>-0.35281299999999999</v>
      </c>
      <c r="AY14">
        <v>-2.9997579999999999</v>
      </c>
      <c r="AZ14">
        <v>-2.79766</v>
      </c>
      <c r="BA14">
        <v>-2.1143420000000002</v>
      </c>
      <c r="BB14">
        <v>-6.7309999999999995E-2</v>
      </c>
      <c r="BC14">
        <v>9.9600000000000001E-3</v>
      </c>
      <c r="BD14">
        <v>-4.3539180000000002</v>
      </c>
      <c r="BE14">
        <v>-3.1689159999999998</v>
      </c>
      <c r="BF14">
        <v>-0.17460300000000001</v>
      </c>
      <c r="BG14">
        <v>-0.30959599999999998</v>
      </c>
      <c r="BH14">
        <v>-5.3464999999999999E-2</v>
      </c>
      <c r="BI14">
        <v>-0.62260499999999996</v>
      </c>
      <c r="BJ14">
        <v>-9.2199000000000003E-2</v>
      </c>
      <c r="BK14">
        <v>-0.60625600000000002</v>
      </c>
      <c r="BL14">
        <v>-1.204E-3</v>
      </c>
      <c r="BM14">
        <v>-0.41918</v>
      </c>
      <c r="BN14">
        <v>-0.73094899999999996</v>
      </c>
      <c r="BO14">
        <v>-1.429713</v>
      </c>
      <c r="BP14">
        <v>-3.9725000000000003E-2</v>
      </c>
      <c r="BQ14">
        <v>1.1296E-2</v>
      </c>
      <c r="BR14">
        <v>-0.72594899999999996</v>
      </c>
      <c r="BS14">
        <v>-0.94304399999999999</v>
      </c>
      <c r="BU14" s="2"/>
    </row>
    <row r="15" spans="1:73" x14ac:dyDescent="0.2">
      <c r="A15" t="s">
        <v>83</v>
      </c>
      <c r="B15">
        <v>-2.3410000000000002E-3</v>
      </c>
      <c r="C15">
        <v>-1.1216E-2</v>
      </c>
      <c r="D15">
        <v>-4.4739999999999997E-3</v>
      </c>
      <c r="E15">
        <v>7.9600000000000005E-4</v>
      </c>
      <c r="F15">
        <v>2.575E-3</v>
      </c>
      <c r="G15">
        <v>-4.0540000000000003E-3</v>
      </c>
      <c r="H15">
        <v>-3.875E-3</v>
      </c>
      <c r="I15">
        <v>-1.555E-3</v>
      </c>
      <c r="J15">
        <v>-1.5900000000000001E-3</v>
      </c>
      <c r="K15">
        <v>2.5110000000000002E-3</v>
      </c>
      <c r="L15">
        <v>-1.9092999999999999E-2</v>
      </c>
      <c r="M15">
        <v>-4.1539999999999997E-3</v>
      </c>
      <c r="N15">
        <v>-5.9909999999999998E-3</v>
      </c>
      <c r="O15">
        <v>-9.2449999999999997E-3</v>
      </c>
      <c r="P15">
        <v>-6.1320000000000003E-3</v>
      </c>
      <c r="Q15">
        <v>1.1689999999999999E-3</v>
      </c>
      <c r="R15">
        <v>-2.336E-3</v>
      </c>
      <c r="S15">
        <v>-8.6999999999999994E-3</v>
      </c>
      <c r="T15">
        <v>-8.4550000000000007E-3</v>
      </c>
      <c r="U15">
        <v>-1.0283E-2</v>
      </c>
      <c r="V15">
        <v>-7.9780000000000007E-3</v>
      </c>
      <c r="W15">
        <v>-5.6629999999999996E-3</v>
      </c>
      <c r="X15">
        <v>-4.1099999999999999E-3</v>
      </c>
      <c r="Y15">
        <v>8.0500000000000005E-4</v>
      </c>
      <c r="Z15">
        <v>-3.4009999999999999E-3</v>
      </c>
      <c r="AA15">
        <v>1.4413E-2</v>
      </c>
      <c r="AB15">
        <v>-5.5560000000000002E-3</v>
      </c>
      <c r="AC15">
        <v>-8.5609999999999992E-3</v>
      </c>
      <c r="AD15">
        <v>-3.1879999999999999E-3</v>
      </c>
      <c r="AE15">
        <v>-8.52E-4</v>
      </c>
      <c r="AF15">
        <v>-1.9980000000000002E-3</v>
      </c>
      <c r="AG15">
        <v>-2.3779999999999999E-3</v>
      </c>
      <c r="AH15">
        <v>-7.4339999999999996E-3</v>
      </c>
      <c r="AI15">
        <v>-4.1409999999999997E-3</v>
      </c>
      <c r="AJ15">
        <v>-6.6439999999999997E-3</v>
      </c>
      <c r="AK15">
        <v>-3.8999999999999998E-3</v>
      </c>
      <c r="AL15">
        <v>-3.9940000000000002E-3</v>
      </c>
      <c r="AM15">
        <v>-1.771E-3</v>
      </c>
      <c r="AN15">
        <v>-1.9759999999999999E-3</v>
      </c>
      <c r="AO15">
        <v>9.2549999999999993E-3</v>
      </c>
      <c r="AP15">
        <v>-5.0879999999999996E-3</v>
      </c>
      <c r="AQ15">
        <v>-7.2129999999999998E-3</v>
      </c>
      <c r="AR15">
        <v>6.1799999999999995E-4</v>
      </c>
      <c r="AS15">
        <v>9.4820000000000008E-3</v>
      </c>
      <c r="AT15">
        <v>-9.2929999999999992E-3</v>
      </c>
      <c r="AU15">
        <v>-2.6689999999999999E-3</v>
      </c>
      <c r="AV15">
        <v>-2.9030000000000002E-3</v>
      </c>
      <c r="AW15">
        <v>-4.3600000000000002E-3</v>
      </c>
      <c r="AX15">
        <v>-1.4926E-2</v>
      </c>
      <c r="AY15">
        <v>-1.6100000000000001E-3</v>
      </c>
      <c r="AZ15">
        <v>-1.0453E-2</v>
      </c>
      <c r="BA15">
        <v>-1.753E-3</v>
      </c>
      <c r="BB15">
        <v>-5.391E-3</v>
      </c>
      <c r="BC15">
        <v>7.1320000000000003E-3</v>
      </c>
      <c r="BD15">
        <v>-4.0480000000000004E-3</v>
      </c>
      <c r="BE15">
        <v>-3.9610000000000001E-3</v>
      </c>
      <c r="BF15">
        <v>5.7899999999999998E-4</v>
      </c>
      <c r="BG15">
        <v>1.6490999999999999E-2</v>
      </c>
      <c r="BH15">
        <v>-9.8390000000000005E-3</v>
      </c>
      <c r="BI15">
        <v>4.2299999999999998E-4</v>
      </c>
      <c r="BJ15">
        <v>-1.9158999999999999E-2</v>
      </c>
      <c r="BK15">
        <v>-5.4990000000000004E-3</v>
      </c>
      <c r="BL15">
        <v>-7.8050000000000003E-3</v>
      </c>
      <c r="BM15">
        <v>-7.9229999999999995E-3</v>
      </c>
      <c r="BN15">
        <v>-8.3180000000000007E-3</v>
      </c>
      <c r="BO15">
        <v>-1.0369E-2</v>
      </c>
      <c r="BP15">
        <v>-3.64E-3</v>
      </c>
      <c r="BQ15">
        <v>2.3900000000000002E-3</v>
      </c>
      <c r="BR15">
        <v>-1.2873000000000001E-2</v>
      </c>
      <c r="BS15">
        <v>-5.2420000000000001E-3</v>
      </c>
      <c r="BU15" s="2"/>
    </row>
    <row r="16" spans="1:73" x14ac:dyDescent="0.2">
      <c r="A16" t="s">
        <v>84</v>
      </c>
      <c r="B16">
        <v>1.0394E-2</v>
      </c>
      <c r="C16">
        <v>-1.2096000000000001E-2</v>
      </c>
      <c r="D16">
        <v>-1.9599999999999999E-4</v>
      </c>
      <c r="E16">
        <v>-1.1138E-2</v>
      </c>
      <c r="F16">
        <v>-5.6959999999999997E-3</v>
      </c>
      <c r="G16">
        <v>-7.1089999999999999E-3</v>
      </c>
      <c r="H16">
        <v>-1.7229999999999999E-3</v>
      </c>
      <c r="I16">
        <v>-9.8549999999999992E-3</v>
      </c>
      <c r="J16">
        <v>-1.389E-2</v>
      </c>
      <c r="K16">
        <v>-1.34E-4</v>
      </c>
      <c r="L16">
        <v>-1.8499999999999999E-2</v>
      </c>
      <c r="M16">
        <v>-3.666E-3</v>
      </c>
      <c r="N16">
        <v>-7.7079999999999996E-3</v>
      </c>
      <c r="O16">
        <v>-1.4694E-2</v>
      </c>
      <c r="P16">
        <v>-4.6515000000000001E-2</v>
      </c>
      <c r="Q16">
        <v>3.1189999999999998E-3</v>
      </c>
      <c r="R16">
        <v>4.3790000000000001E-3</v>
      </c>
      <c r="S16">
        <v>-1.285E-2</v>
      </c>
      <c r="T16">
        <v>-7.8110000000000002E-3</v>
      </c>
      <c r="U16">
        <v>-1.1814E-2</v>
      </c>
      <c r="V16">
        <v>-7.9769999999999997E-3</v>
      </c>
      <c r="W16">
        <v>-1.0567999999999999E-2</v>
      </c>
      <c r="X16">
        <v>-2.0823999999999999E-2</v>
      </c>
      <c r="Y16">
        <v>-5.2059999999999997E-3</v>
      </c>
      <c r="Z16">
        <v>-2.0913000000000001E-2</v>
      </c>
      <c r="AA16">
        <v>1.4241999999999999E-2</v>
      </c>
      <c r="AB16">
        <v>-1.4300999999999999E-2</v>
      </c>
      <c r="AC16">
        <v>-2.0968000000000001E-2</v>
      </c>
      <c r="AD16">
        <v>-2.1217E-2</v>
      </c>
      <c r="AE16">
        <v>1.1745999999999999E-2</v>
      </c>
      <c r="AF16">
        <v>2.068E-3</v>
      </c>
      <c r="AG16">
        <v>-2.504E-2</v>
      </c>
      <c r="AH16">
        <v>-7.2110000000000004E-3</v>
      </c>
      <c r="AI16">
        <v>-1.2739E-2</v>
      </c>
      <c r="AJ16">
        <v>-8.574E-3</v>
      </c>
      <c r="AK16">
        <v>-7.6220000000000003E-3</v>
      </c>
      <c r="AL16">
        <v>-1.5362000000000001E-2</v>
      </c>
      <c r="AM16">
        <v>-7.2630000000000004E-3</v>
      </c>
      <c r="AN16">
        <v>-2.3483E-2</v>
      </c>
      <c r="AO16">
        <v>8.0000000000000002E-3</v>
      </c>
      <c r="AP16">
        <v>-1.4069999999999999E-2</v>
      </c>
      <c r="AQ16">
        <v>-1.4237E-2</v>
      </c>
      <c r="AR16">
        <v>-4.8180000000000002E-3</v>
      </c>
      <c r="AS16">
        <v>2.0039999999999999E-2</v>
      </c>
      <c r="AT16">
        <v>-1.0369999999999999E-3</v>
      </c>
      <c r="AU16">
        <v>-3.075E-2</v>
      </c>
      <c r="AV16">
        <v>-1.7954999999999999E-2</v>
      </c>
      <c r="AW16">
        <v>-5.424E-3</v>
      </c>
      <c r="AX16">
        <v>-1.9331999999999998E-2</v>
      </c>
      <c r="AY16">
        <v>4.215E-3</v>
      </c>
      <c r="AZ16">
        <v>-6.7780000000000002E-3</v>
      </c>
      <c r="BA16">
        <v>-6.999E-3</v>
      </c>
      <c r="BB16">
        <v>-3.4160999999999997E-2</v>
      </c>
      <c r="BC16">
        <v>-1.7290000000000001E-3</v>
      </c>
      <c r="BD16">
        <v>-5.1440000000000001E-3</v>
      </c>
      <c r="BE16">
        <v>-3.4009999999999999E-3</v>
      </c>
      <c r="BF16">
        <v>-1.0280000000000001E-3</v>
      </c>
      <c r="BG16">
        <v>6.8030999999999994E-2</v>
      </c>
      <c r="BH16">
        <v>2.5330000000000001E-3</v>
      </c>
      <c r="BI16">
        <v>-6.0343000000000001E-2</v>
      </c>
      <c r="BJ16">
        <v>-3.5201000000000003E-2</v>
      </c>
      <c r="BK16">
        <v>-1.1122999999999999E-2</v>
      </c>
      <c r="BL16">
        <v>-7.2139999999999999E-3</v>
      </c>
      <c r="BM16">
        <v>-2.983E-3</v>
      </c>
      <c r="BN16">
        <v>-2.9789E-2</v>
      </c>
      <c r="BO16">
        <v>-2.9082E-2</v>
      </c>
      <c r="BP16">
        <v>-6.6530000000000006E-2</v>
      </c>
      <c r="BQ16">
        <v>-1.1651E-2</v>
      </c>
      <c r="BR16">
        <v>-1.1004999999999999E-2</v>
      </c>
      <c r="BS16">
        <v>-6.3680000000000004E-3</v>
      </c>
      <c r="BU16" s="2"/>
    </row>
    <row r="20" spans="2:18" x14ac:dyDescent="0.2">
      <c r="B20" t="s">
        <v>85</v>
      </c>
    </row>
    <row r="21" spans="2:18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P21" t="s">
        <v>86</v>
      </c>
      <c r="Q21" t="s">
        <v>87</v>
      </c>
      <c r="R21" t="s">
        <v>88</v>
      </c>
    </row>
    <row r="22" spans="2:18" x14ac:dyDescent="0.2"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83</v>
      </c>
      <c r="L22" t="s">
        <v>84</v>
      </c>
      <c r="P22">
        <f>MEDIAN(B7:BS7)</f>
        <v>-0.23796899999999999</v>
      </c>
      <c r="Q22" s="4">
        <f>AVERAGEIF(B7:BS7,"&gt;="&amp;PERCENTILE(B7:BS7,0.9))</f>
        <v>1.6999999999999407E-5</v>
      </c>
      <c r="R22">
        <f>AVERAGEIF(B7:BS7,"&lt;="&amp;PERCENTILE(B7:BS7,0.1))</f>
        <v>-19.383202428571426</v>
      </c>
    </row>
    <row r="23" spans="2:18" x14ac:dyDescent="0.2">
      <c r="B23" t="s">
        <v>89</v>
      </c>
      <c r="C23" s="5">
        <v>-0.23796899999999999</v>
      </c>
      <c r="D23" s="5">
        <v>-8.0250000000000004E-4</v>
      </c>
      <c r="E23" s="5">
        <v>-0.3165345</v>
      </c>
      <c r="F23" s="5">
        <v>-7.2499999999999995E-4</v>
      </c>
      <c r="G23" s="5">
        <v>-2.0495000000000001E-3</v>
      </c>
      <c r="H23" s="5">
        <v>-1.6454999999999998E-3</v>
      </c>
      <c r="I23" s="5">
        <v>-3.3709000000000003E-2</v>
      </c>
      <c r="J23" s="5">
        <v>-1.3202365</v>
      </c>
      <c r="K23" s="5">
        <v>-4.0510000000000008E-3</v>
      </c>
      <c r="L23" s="5">
        <v>-7.894E-3</v>
      </c>
      <c r="P23">
        <f t="shared" ref="P23:P31" si="0">MEDIAN(B8:BS8)</f>
        <v>-8.0250000000000004E-4</v>
      </c>
      <c r="Q23" s="4">
        <f t="shared" ref="Q23:Q31" si="1">AVERAGEIF(B8:BS8,"&gt;="&amp;PERCENTILE(B8:BS8,0.9))</f>
        <v>2.4982285714285714E-2</v>
      </c>
      <c r="R23">
        <f t="shared" ref="R23:R31" si="2">AVERAGEIF(B8:BS8,"&lt;="&amp;PERCENTILE(B8:BS8,0.1))</f>
        <v>-1.7492999999999998E-2</v>
      </c>
    </row>
    <row r="24" spans="2:18" x14ac:dyDescent="0.2">
      <c r="B24" t="s">
        <v>90</v>
      </c>
      <c r="C24" s="5">
        <v>1.6999999999999407E-5</v>
      </c>
      <c r="D24" s="5">
        <v>2.4982285714285714E-2</v>
      </c>
      <c r="E24" s="5">
        <v>3.7757142857142823E-4</v>
      </c>
      <c r="F24" s="5">
        <v>2.2057571428571423E-2</v>
      </c>
      <c r="G24" s="5">
        <v>8.9428571428571432E-4</v>
      </c>
      <c r="H24" s="5">
        <v>7.1301428571428566E-3</v>
      </c>
      <c r="I24" s="5">
        <v>1.2665714285714283E-3</v>
      </c>
      <c r="J24" s="5">
        <v>9.4174285714285731E-3</v>
      </c>
      <c r="K24" s="5">
        <v>8.8370000000000011E-3</v>
      </c>
      <c r="L24" s="5">
        <v>1.9547428571428573E-2</v>
      </c>
      <c r="P24">
        <f t="shared" si="0"/>
        <v>-0.3165345</v>
      </c>
      <c r="Q24" s="4">
        <f t="shared" si="1"/>
        <v>3.7757142857142823E-4</v>
      </c>
      <c r="R24">
        <f t="shared" si="2"/>
        <v>-19.351220142857137</v>
      </c>
    </row>
    <row r="25" spans="2:18" x14ac:dyDescent="0.2">
      <c r="B25" t="s">
        <v>91</v>
      </c>
      <c r="C25" s="5">
        <v>-19.383202428571426</v>
      </c>
      <c r="D25" s="5">
        <v>-1.7492999999999998E-2</v>
      </c>
      <c r="E25" s="5">
        <v>-19.351220142857137</v>
      </c>
      <c r="F25" s="5">
        <v>-2.570142857142857E-2</v>
      </c>
      <c r="G25" s="5">
        <v>-2.0473717142857142</v>
      </c>
      <c r="H25" s="5">
        <v>-2.1553955714285715</v>
      </c>
      <c r="I25" s="5">
        <v>-23.685139857142854</v>
      </c>
      <c r="J25" s="5">
        <v>-27.866360857142858</v>
      </c>
      <c r="K25" s="5">
        <v>-1.4012714285714285E-2</v>
      </c>
      <c r="L25" s="5">
        <v>-4.3327000000000004E-2</v>
      </c>
      <c r="P25">
        <f t="shared" si="0"/>
        <v>-7.2499999999999995E-4</v>
      </c>
      <c r="Q25" s="4">
        <f t="shared" si="1"/>
        <v>2.2057571428571423E-2</v>
      </c>
      <c r="R25">
        <f t="shared" si="2"/>
        <v>-2.570142857142857E-2</v>
      </c>
    </row>
    <row r="26" spans="2:18" x14ac:dyDescent="0.2">
      <c r="B26" s="6" t="s">
        <v>92</v>
      </c>
      <c r="C26" s="6"/>
      <c r="D26" s="6"/>
      <c r="E26" s="6"/>
      <c r="F26" s="6"/>
      <c r="G26" s="6"/>
      <c r="H26" s="6"/>
      <c r="I26" s="6"/>
      <c r="J26" s="6"/>
      <c r="K26" s="6"/>
      <c r="L26" s="6"/>
      <c r="P26">
        <f t="shared" si="0"/>
        <v>-2.0495000000000001E-3</v>
      </c>
      <c r="Q26" s="4">
        <f t="shared" si="1"/>
        <v>8.9428571428571432E-4</v>
      </c>
      <c r="R26">
        <f t="shared" si="2"/>
        <v>-2.0473717142857142</v>
      </c>
    </row>
    <row r="27" spans="2:18" x14ac:dyDescent="0.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P27">
        <f t="shared" si="0"/>
        <v>-1.6454999999999998E-3</v>
      </c>
      <c r="Q27" s="4">
        <f t="shared" si="1"/>
        <v>7.1301428571428566E-3</v>
      </c>
      <c r="R27">
        <f t="shared" si="2"/>
        <v>-2.1553955714285715</v>
      </c>
    </row>
    <row r="28" spans="2:18" x14ac:dyDescent="0.2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P28">
        <f t="shared" si="0"/>
        <v>-3.3709000000000003E-2</v>
      </c>
      <c r="Q28" s="4">
        <f t="shared" si="1"/>
        <v>1.2665714285714283E-3</v>
      </c>
      <c r="R28">
        <f t="shared" si="2"/>
        <v>-23.685139857142854</v>
      </c>
    </row>
    <row r="29" spans="2:18" x14ac:dyDescent="0.2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P29">
        <f t="shared" si="0"/>
        <v>-1.3202365</v>
      </c>
      <c r="Q29" s="4">
        <f t="shared" si="1"/>
        <v>9.4174285714285731E-3</v>
      </c>
      <c r="R29">
        <f t="shared" si="2"/>
        <v>-27.866360857142858</v>
      </c>
    </row>
    <row r="30" spans="2:18" x14ac:dyDescent="0.2">
      <c r="P30">
        <f t="shared" si="0"/>
        <v>-4.0510000000000008E-3</v>
      </c>
      <c r="Q30" s="4">
        <f t="shared" si="1"/>
        <v>8.8370000000000011E-3</v>
      </c>
      <c r="R30">
        <f t="shared" si="2"/>
        <v>-1.4012714285714285E-2</v>
      </c>
    </row>
    <row r="31" spans="2:18" x14ac:dyDescent="0.2">
      <c r="P31">
        <f t="shared" si="0"/>
        <v>-7.894E-3</v>
      </c>
      <c r="Q31" s="4">
        <f t="shared" si="1"/>
        <v>1.9547428571428573E-2</v>
      </c>
      <c r="R31">
        <f t="shared" si="2"/>
        <v>-4.3327000000000004E-2</v>
      </c>
    </row>
    <row r="36" spans="2:12" x14ac:dyDescent="0.2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2:12" x14ac:dyDescent="0.2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2:12" x14ac:dyDescent="0.2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2:12" x14ac:dyDescent="0.2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7" spans="2:12" x14ac:dyDescent="0.2">
      <c r="D47" s="7"/>
    </row>
  </sheetData>
  <mergeCells count="3">
    <mergeCell ref="B21:L21"/>
    <mergeCell ref="B26:L29"/>
    <mergeCell ref="B36:L39"/>
  </mergeCells>
  <conditionalFormatting sqref="B6:BS16">
    <cfRule type="top10" dxfId="7" priority="7" rank="1"/>
    <cfRule type="cellIs" dxfId="6" priority="8" operator="greaterThan">
      <formula>0.001</formula>
    </cfRule>
  </conditionalFormatting>
  <conditionalFormatting sqref="B41:B54 B56:B57 B93:B110">
    <cfRule type="top10" dxfId="5" priority="5" rank="1"/>
    <cfRule type="cellIs" dxfId="4" priority="6" operator="greaterThan">
      <formula>0.001</formula>
    </cfRule>
  </conditionalFormatting>
  <conditionalFormatting sqref="B55:AJ55">
    <cfRule type="top10" dxfId="3" priority="3" rank="1"/>
    <cfRule type="cellIs" dxfId="2" priority="4" operator="greaterThan">
      <formula>0.001</formula>
    </cfRule>
  </conditionalFormatting>
  <conditionalFormatting sqref="B58:B92">
    <cfRule type="top10" dxfId="1" priority="1" rank="1"/>
    <cfRule type="cellIs" dxfId="0" priority="2" operator="greaterThan">
      <formula>0.001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Vojtech Brezna</dc:creator>
  <cp:lastModifiedBy>Vojtech Brezna</cp:lastModifiedBy>
  <dcterms:created xsi:type="dcterms:W3CDTF">2026-04-20T13:31:29Z</dcterms:created>
  <dcterms:modified xsi:type="dcterms:W3CDTF">2026-04-20T13:31:44Z</dcterms:modified>
</cp:coreProperties>
</file>