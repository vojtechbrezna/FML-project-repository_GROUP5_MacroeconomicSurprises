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jtechbrezna/Reseach_projet_FML/FML-project-repository/"/>
    </mc:Choice>
  </mc:AlternateContent>
  <xr:revisionPtr revIDLastSave="0" documentId="8_{43796D8A-9B56-CF4C-AD3E-6F9762E68F31}" xr6:coauthVersionLast="47" xr6:coauthVersionMax="47" xr10:uidLastSave="{00000000-0000-0000-0000-000000000000}"/>
  <bookViews>
    <workbookView xWindow="0" yWindow="0" windowWidth="28800" windowHeight="18000" xr2:uid="{EC2C8BE4-3C46-DD48-B25B-4664E27C70E1}"/>
  </bookViews>
  <sheets>
    <sheet name="Surpreses-checkAVGhoureaConCon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342" i="1" l="1"/>
  <c r="AV342" i="1"/>
  <c r="AZ341" i="1"/>
  <c r="AV341" i="1"/>
  <c r="AL341" i="1"/>
  <c r="L341" i="1"/>
  <c r="H341" i="1"/>
  <c r="AZ340" i="1"/>
  <c r="AV340" i="1"/>
  <c r="L340" i="1"/>
  <c r="H340" i="1"/>
  <c r="AZ339" i="1"/>
  <c r="AV339" i="1"/>
  <c r="L339" i="1"/>
  <c r="H339" i="1"/>
  <c r="AZ338" i="1"/>
  <c r="AV338" i="1"/>
  <c r="L338" i="1"/>
  <c r="H338" i="1"/>
  <c r="AZ337" i="1"/>
  <c r="AV337" i="1"/>
  <c r="AJ337" i="1"/>
  <c r="L337" i="1"/>
  <c r="H337" i="1"/>
  <c r="AZ336" i="1"/>
  <c r="AV336" i="1"/>
  <c r="AJ336" i="1"/>
  <c r="L336" i="1"/>
  <c r="H336" i="1"/>
  <c r="AZ335" i="1"/>
  <c r="AV335" i="1"/>
  <c r="AR335" i="1"/>
  <c r="AJ335" i="1"/>
  <c r="L335" i="1"/>
  <c r="H335" i="1"/>
  <c r="AZ334" i="1"/>
  <c r="AV334" i="1"/>
  <c r="AR334" i="1"/>
  <c r="AJ334" i="1"/>
  <c r="L334" i="1"/>
  <c r="H334" i="1"/>
  <c r="AZ333" i="1"/>
  <c r="AV333" i="1"/>
  <c r="AR333" i="1"/>
  <c r="AJ333" i="1"/>
  <c r="L333" i="1"/>
  <c r="H333" i="1"/>
  <c r="AZ332" i="1"/>
  <c r="AV332" i="1"/>
  <c r="AR332" i="1"/>
  <c r="AJ332" i="1"/>
  <c r="L332" i="1"/>
  <c r="H332" i="1"/>
  <c r="AZ331" i="1"/>
  <c r="AV331" i="1"/>
  <c r="AR331" i="1"/>
  <c r="AJ331" i="1"/>
  <c r="L331" i="1"/>
  <c r="H331" i="1"/>
  <c r="AZ330" i="1"/>
  <c r="AV330" i="1"/>
  <c r="AR330" i="1"/>
  <c r="AJ330" i="1"/>
  <c r="L330" i="1"/>
  <c r="H330" i="1"/>
  <c r="AZ329" i="1"/>
  <c r="AV329" i="1"/>
  <c r="AR329" i="1"/>
  <c r="AJ329" i="1"/>
  <c r="L329" i="1"/>
  <c r="H329" i="1"/>
  <c r="AZ328" i="1"/>
  <c r="AV328" i="1"/>
  <c r="AR328" i="1"/>
  <c r="AJ328" i="1"/>
  <c r="L328" i="1"/>
  <c r="H328" i="1"/>
  <c r="AZ327" i="1"/>
  <c r="AV327" i="1"/>
  <c r="AR327" i="1"/>
  <c r="AJ327" i="1"/>
  <c r="L327" i="1"/>
  <c r="H327" i="1"/>
  <c r="AZ326" i="1"/>
  <c r="AV326" i="1"/>
  <c r="AR326" i="1"/>
  <c r="AJ326" i="1"/>
  <c r="L326" i="1"/>
  <c r="H326" i="1"/>
  <c r="AZ325" i="1"/>
  <c r="AV325" i="1"/>
  <c r="AR325" i="1"/>
  <c r="AJ325" i="1"/>
  <c r="L325" i="1"/>
  <c r="H325" i="1"/>
  <c r="AZ324" i="1"/>
  <c r="AV324" i="1"/>
  <c r="AR324" i="1"/>
  <c r="AJ324" i="1"/>
  <c r="L324" i="1"/>
  <c r="H324" i="1"/>
  <c r="AZ323" i="1"/>
  <c r="AV323" i="1"/>
  <c r="AR323" i="1"/>
  <c r="AJ323" i="1"/>
  <c r="L323" i="1"/>
  <c r="H323" i="1"/>
  <c r="AZ322" i="1"/>
  <c r="AV322" i="1"/>
  <c r="AR322" i="1"/>
  <c r="AJ322" i="1"/>
  <c r="L322" i="1"/>
  <c r="H322" i="1"/>
  <c r="AZ321" i="1"/>
  <c r="AV321" i="1"/>
  <c r="AR321" i="1"/>
  <c r="AJ321" i="1"/>
  <c r="L321" i="1"/>
  <c r="H321" i="1"/>
  <c r="AZ320" i="1"/>
  <c r="AV320" i="1"/>
  <c r="AR320" i="1"/>
  <c r="AJ320" i="1"/>
  <c r="L320" i="1"/>
  <c r="H320" i="1"/>
  <c r="AZ319" i="1"/>
  <c r="AV319" i="1"/>
  <c r="AR319" i="1"/>
  <c r="AJ319" i="1"/>
  <c r="L319" i="1"/>
  <c r="H319" i="1"/>
  <c r="AZ318" i="1"/>
  <c r="AV318" i="1"/>
  <c r="AR318" i="1"/>
  <c r="AJ318" i="1"/>
  <c r="L318" i="1"/>
  <c r="H318" i="1"/>
  <c r="AZ317" i="1"/>
  <c r="AV317" i="1"/>
  <c r="AR317" i="1"/>
  <c r="AJ317" i="1"/>
  <c r="AB317" i="1"/>
  <c r="L317" i="1"/>
  <c r="H317" i="1"/>
  <c r="D317" i="1"/>
  <c r="AZ316" i="1"/>
  <c r="AV316" i="1"/>
  <c r="AR316" i="1"/>
  <c r="AJ316" i="1"/>
  <c r="AF316" i="1"/>
  <c r="AB316" i="1"/>
  <c r="L316" i="1"/>
  <c r="H316" i="1"/>
  <c r="D316" i="1"/>
  <c r="AZ315" i="1"/>
  <c r="AV315" i="1"/>
  <c r="AR315" i="1"/>
  <c r="AJ315" i="1"/>
  <c r="AF315" i="1"/>
  <c r="AB315" i="1"/>
  <c r="L315" i="1"/>
  <c r="H315" i="1"/>
  <c r="D315" i="1"/>
  <c r="AZ314" i="1"/>
  <c r="AV314" i="1"/>
  <c r="AR314" i="1"/>
  <c r="AJ314" i="1"/>
  <c r="AF314" i="1"/>
  <c r="AB314" i="1"/>
  <c r="L314" i="1"/>
  <c r="H314" i="1"/>
  <c r="D314" i="1"/>
  <c r="AZ313" i="1"/>
  <c r="AV313" i="1"/>
  <c r="AR313" i="1"/>
  <c r="AJ313" i="1"/>
  <c r="AF313" i="1"/>
  <c r="AB313" i="1"/>
  <c r="L313" i="1"/>
  <c r="H313" i="1"/>
  <c r="D313" i="1"/>
  <c r="AZ312" i="1"/>
  <c r="AV312" i="1"/>
  <c r="AR312" i="1"/>
  <c r="AJ312" i="1"/>
  <c r="AF312" i="1"/>
  <c r="AB312" i="1"/>
  <c r="L312" i="1"/>
  <c r="H312" i="1"/>
  <c r="D312" i="1"/>
  <c r="AZ311" i="1"/>
  <c r="AV311" i="1"/>
  <c r="AR311" i="1"/>
  <c r="AJ311" i="1"/>
  <c r="AF311" i="1"/>
  <c r="AB311" i="1"/>
  <c r="L311" i="1"/>
  <c r="H311" i="1"/>
  <c r="D311" i="1"/>
  <c r="AZ310" i="1"/>
  <c r="AV310" i="1"/>
  <c r="AR310" i="1"/>
  <c r="AJ310" i="1"/>
  <c r="AF310" i="1"/>
  <c r="AB310" i="1"/>
  <c r="L310" i="1"/>
  <c r="H310" i="1"/>
  <c r="D310" i="1"/>
  <c r="AZ309" i="1"/>
  <c r="AV309" i="1"/>
  <c r="AR309" i="1"/>
  <c r="AJ309" i="1"/>
  <c r="AF309" i="1"/>
  <c r="AB309" i="1"/>
  <c r="L309" i="1"/>
  <c r="H309" i="1"/>
  <c r="D309" i="1"/>
  <c r="AZ308" i="1"/>
  <c r="AV308" i="1"/>
  <c r="AR308" i="1"/>
  <c r="AJ308" i="1"/>
  <c r="AF308" i="1"/>
  <c r="AB308" i="1"/>
  <c r="L308" i="1"/>
  <c r="H308" i="1"/>
  <c r="D308" i="1"/>
  <c r="AZ307" i="1"/>
  <c r="AV307" i="1"/>
  <c r="AR307" i="1"/>
  <c r="AJ307" i="1"/>
  <c r="AF307" i="1"/>
  <c r="AB307" i="1"/>
  <c r="L307" i="1"/>
  <c r="H307" i="1"/>
  <c r="D307" i="1"/>
  <c r="AZ306" i="1"/>
  <c r="AV306" i="1"/>
  <c r="AR306" i="1"/>
  <c r="AJ306" i="1"/>
  <c r="AF306" i="1"/>
  <c r="AB306" i="1"/>
  <c r="L306" i="1"/>
  <c r="H306" i="1"/>
  <c r="D306" i="1"/>
  <c r="AZ305" i="1"/>
  <c r="AV305" i="1"/>
  <c r="AR305" i="1"/>
  <c r="AJ305" i="1"/>
  <c r="AF305" i="1"/>
  <c r="AB305" i="1"/>
  <c r="L305" i="1"/>
  <c r="H305" i="1"/>
  <c r="D305" i="1"/>
  <c r="AZ304" i="1"/>
  <c r="AV304" i="1"/>
  <c r="AR304" i="1"/>
  <c r="AN304" i="1"/>
  <c r="AJ304" i="1"/>
  <c r="AF304" i="1"/>
  <c r="AB304" i="1"/>
  <c r="L304" i="1"/>
  <c r="H304" i="1"/>
  <c r="D304" i="1"/>
  <c r="AZ303" i="1"/>
  <c r="AV303" i="1"/>
  <c r="AR303" i="1"/>
  <c r="AN303" i="1"/>
  <c r="AJ303" i="1"/>
  <c r="AF303" i="1"/>
  <c r="AB303" i="1"/>
  <c r="L303" i="1"/>
  <c r="H303" i="1"/>
  <c r="D303" i="1"/>
  <c r="AZ302" i="1"/>
  <c r="AV302" i="1"/>
  <c r="AR302" i="1"/>
  <c r="AN302" i="1"/>
  <c r="AJ302" i="1"/>
  <c r="AF302" i="1"/>
  <c r="AB302" i="1"/>
  <c r="L302" i="1"/>
  <c r="H302" i="1"/>
  <c r="D302" i="1"/>
  <c r="AZ301" i="1"/>
  <c r="AV301" i="1"/>
  <c r="AR301" i="1"/>
  <c r="AN301" i="1"/>
  <c r="AJ301" i="1"/>
  <c r="AF301" i="1"/>
  <c r="AB301" i="1"/>
  <c r="L301" i="1"/>
  <c r="H301" i="1"/>
  <c r="D301" i="1"/>
  <c r="AZ300" i="1"/>
  <c r="AV300" i="1"/>
  <c r="AR300" i="1"/>
  <c r="AN300" i="1"/>
  <c r="AJ300" i="1"/>
  <c r="AF300" i="1"/>
  <c r="AB300" i="1"/>
  <c r="L300" i="1"/>
  <c r="H300" i="1"/>
  <c r="D300" i="1"/>
  <c r="AZ299" i="1"/>
  <c r="AV299" i="1"/>
  <c r="AR299" i="1"/>
  <c r="AN299" i="1"/>
  <c r="AJ299" i="1"/>
  <c r="AF299" i="1"/>
  <c r="AB299" i="1"/>
  <c r="L299" i="1"/>
  <c r="H299" i="1"/>
  <c r="D299" i="1"/>
  <c r="AZ298" i="1"/>
  <c r="AV298" i="1"/>
  <c r="AR298" i="1"/>
  <c r="AN298" i="1"/>
  <c r="AJ298" i="1"/>
  <c r="AF298" i="1"/>
  <c r="AB298" i="1"/>
  <c r="L298" i="1"/>
  <c r="H298" i="1"/>
  <c r="D298" i="1"/>
  <c r="AZ297" i="1"/>
  <c r="AV297" i="1"/>
  <c r="AR297" i="1"/>
  <c r="AN297" i="1"/>
  <c r="AJ297" i="1"/>
  <c r="AF297" i="1"/>
  <c r="AB297" i="1"/>
  <c r="L297" i="1"/>
  <c r="H297" i="1"/>
  <c r="D297" i="1"/>
  <c r="AZ296" i="1"/>
  <c r="AV296" i="1"/>
  <c r="AR296" i="1"/>
  <c r="AN296" i="1"/>
  <c r="AJ296" i="1"/>
  <c r="AF296" i="1"/>
  <c r="AB296" i="1"/>
  <c r="L296" i="1"/>
  <c r="H296" i="1"/>
  <c r="D296" i="1"/>
  <c r="AZ295" i="1"/>
  <c r="AV295" i="1"/>
  <c r="AR295" i="1"/>
  <c r="AN295" i="1"/>
  <c r="AJ295" i="1"/>
  <c r="AF295" i="1"/>
  <c r="AB295" i="1"/>
  <c r="T295" i="1"/>
  <c r="L295" i="1"/>
  <c r="H295" i="1"/>
  <c r="D295" i="1"/>
  <c r="AZ294" i="1"/>
  <c r="AV294" i="1"/>
  <c r="AR294" i="1"/>
  <c r="AN294" i="1"/>
  <c r="AJ294" i="1"/>
  <c r="AF294" i="1"/>
  <c r="AB294" i="1"/>
  <c r="T294" i="1"/>
  <c r="L294" i="1"/>
  <c r="H294" i="1"/>
  <c r="D294" i="1"/>
  <c r="AZ293" i="1"/>
  <c r="AV293" i="1"/>
  <c r="AR293" i="1"/>
  <c r="AN293" i="1"/>
  <c r="AJ293" i="1"/>
  <c r="AF293" i="1"/>
  <c r="AB293" i="1"/>
  <c r="T293" i="1"/>
  <c r="L293" i="1"/>
  <c r="H293" i="1"/>
  <c r="D293" i="1"/>
  <c r="AZ292" i="1"/>
  <c r="AV292" i="1"/>
  <c r="AR292" i="1"/>
  <c r="AN292" i="1"/>
  <c r="AJ292" i="1"/>
  <c r="AF292" i="1"/>
  <c r="AB292" i="1"/>
  <c r="T292" i="1"/>
  <c r="L292" i="1"/>
  <c r="H292" i="1"/>
  <c r="D292" i="1"/>
  <c r="AZ291" i="1"/>
  <c r="AV291" i="1"/>
  <c r="AR291" i="1"/>
  <c r="AN291" i="1"/>
  <c r="AJ291" i="1"/>
  <c r="AF291" i="1"/>
  <c r="AB291" i="1"/>
  <c r="T291" i="1"/>
  <c r="L291" i="1"/>
  <c r="H291" i="1"/>
  <c r="D291" i="1"/>
  <c r="AZ290" i="1"/>
  <c r="AV290" i="1"/>
  <c r="AR290" i="1"/>
  <c r="AN290" i="1"/>
  <c r="AJ290" i="1"/>
  <c r="AF290" i="1"/>
  <c r="AB290" i="1"/>
  <c r="T290" i="1"/>
  <c r="L290" i="1"/>
  <c r="H290" i="1"/>
  <c r="D290" i="1"/>
  <c r="AZ289" i="1"/>
  <c r="AV289" i="1"/>
  <c r="AR289" i="1"/>
  <c r="AN289" i="1"/>
  <c r="AJ289" i="1"/>
  <c r="AF289" i="1"/>
  <c r="AB289" i="1"/>
  <c r="T289" i="1"/>
  <c r="L289" i="1"/>
  <c r="H289" i="1"/>
  <c r="D289" i="1"/>
  <c r="AZ288" i="1"/>
  <c r="AV288" i="1"/>
  <c r="AR288" i="1"/>
  <c r="AN288" i="1"/>
  <c r="AJ288" i="1"/>
  <c r="AF288" i="1"/>
  <c r="AB288" i="1"/>
  <c r="T288" i="1"/>
  <c r="L288" i="1"/>
  <c r="H288" i="1"/>
  <c r="D288" i="1"/>
  <c r="AZ287" i="1"/>
  <c r="AV287" i="1"/>
  <c r="AR287" i="1"/>
  <c r="AN287" i="1"/>
  <c r="AJ287" i="1"/>
  <c r="AF287" i="1"/>
  <c r="AB287" i="1"/>
  <c r="T287" i="1"/>
  <c r="L287" i="1"/>
  <c r="H287" i="1"/>
  <c r="D287" i="1"/>
  <c r="AZ286" i="1"/>
  <c r="AV286" i="1"/>
  <c r="AR286" i="1"/>
  <c r="AN286" i="1"/>
  <c r="AJ286" i="1"/>
  <c r="AF286" i="1"/>
  <c r="AB286" i="1"/>
  <c r="T286" i="1"/>
  <c r="L286" i="1"/>
  <c r="H286" i="1"/>
  <c r="D286" i="1"/>
  <c r="AZ285" i="1"/>
  <c r="AV285" i="1"/>
  <c r="AR285" i="1"/>
  <c r="AN285" i="1"/>
  <c r="AJ285" i="1"/>
  <c r="AF285" i="1"/>
  <c r="AB285" i="1"/>
  <c r="T285" i="1"/>
  <c r="L285" i="1"/>
  <c r="H285" i="1"/>
  <c r="D285" i="1"/>
  <c r="AZ284" i="1"/>
  <c r="AV284" i="1"/>
  <c r="AR284" i="1"/>
  <c r="AN284" i="1"/>
  <c r="AJ284" i="1"/>
  <c r="AF284" i="1"/>
  <c r="AB284" i="1"/>
  <c r="T284" i="1"/>
  <c r="L284" i="1"/>
  <c r="H284" i="1"/>
  <c r="D284" i="1"/>
  <c r="AZ283" i="1"/>
  <c r="AV283" i="1"/>
  <c r="AR283" i="1"/>
  <c r="AN283" i="1"/>
  <c r="AJ283" i="1"/>
  <c r="AF283" i="1"/>
  <c r="AB283" i="1"/>
  <c r="T283" i="1"/>
  <c r="L283" i="1"/>
  <c r="H283" i="1"/>
  <c r="D283" i="1"/>
  <c r="AZ282" i="1"/>
  <c r="AV282" i="1"/>
  <c r="AR282" i="1"/>
  <c r="AN282" i="1"/>
  <c r="AJ282" i="1"/>
  <c r="AF282" i="1"/>
  <c r="AB282" i="1"/>
  <c r="T282" i="1"/>
  <c r="L282" i="1"/>
  <c r="H282" i="1"/>
  <c r="D282" i="1"/>
  <c r="AZ281" i="1"/>
  <c r="AV281" i="1"/>
  <c r="AR281" i="1"/>
  <c r="AN281" i="1"/>
  <c r="AJ281" i="1"/>
  <c r="AF281" i="1"/>
  <c r="AB281" i="1"/>
  <c r="T281" i="1"/>
  <c r="L281" i="1"/>
  <c r="H281" i="1"/>
  <c r="D281" i="1"/>
  <c r="AZ280" i="1"/>
  <c r="AV280" i="1"/>
  <c r="AR280" i="1"/>
  <c r="AN280" i="1"/>
  <c r="AJ280" i="1"/>
  <c r="AF280" i="1"/>
  <c r="AB280" i="1"/>
  <c r="T280" i="1"/>
  <c r="L280" i="1"/>
  <c r="H280" i="1"/>
  <c r="D280" i="1"/>
  <c r="AZ279" i="1"/>
  <c r="AV279" i="1"/>
  <c r="AR279" i="1"/>
  <c r="AN279" i="1"/>
  <c r="AJ279" i="1"/>
  <c r="AF279" i="1"/>
  <c r="AB279" i="1"/>
  <c r="T279" i="1"/>
  <c r="L279" i="1"/>
  <c r="H279" i="1"/>
  <c r="D279" i="1"/>
  <c r="AZ278" i="1"/>
  <c r="AV278" i="1"/>
  <c r="AR278" i="1"/>
  <c r="AN278" i="1"/>
  <c r="AJ278" i="1"/>
  <c r="AF278" i="1"/>
  <c r="AB278" i="1"/>
  <c r="T278" i="1"/>
  <c r="L278" i="1"/>
  <c r="H278" i="1"/>
  <c r="D278" i="1"/>
  <c r="AZ277" i="1"/>
  <c r="AV277" i="1"/>
  <c r="AR277" i="1"/>
  <c r="AN277" i="1"/>
  <c r="AJ277" i="1"/>
  <c r="AF277" i="1"/>
  <c r="AB277" i="1"/>
  <c r="T277" i="1"/>
  <c r="L277" i="1"/>
  <c r="H277" i="1"/>
  <c r="D277" i="1"/>
  <c r="AZ276" i="1"/>
  <c r="AV276" i="1"/>
  <c r="AR276" i="1"/>
  <c r="AN276" i="1"/>
  <c r="AJ276" i="1"/>
  <c r="AF276" i="1"/>
  <c r="AB276" i="1"/>
  <c r="T276" i="1"/>
  <c r="L276" i="1"/>
  <c r="H276" i="1"/>
  <c r="D276" i="1"/>
  <c r="AZ275" i="1"/>
  <c r="AV275" i="1"/>
  <c r="AR275" i="1"/>
  <c r="AN275" i="1"/>
  <c r="AJ275" i="1"/>
  <c r="AF275" i="1"/>
  <c r="AB275" i="1"/>
  <c r="T275" i="1"/>
  <c r="L275" i="1"/>
  <c r="H275" i="1"/>
  <c r="D275" i="1"/>
  <c r="AZ274" i="1"/>
  <c r="AV274" i="1"/>
  <c r="AR274" i="1"/>
  <c r="AN274" i="1"/>
  <c r="AJ274" i="1"/>
  <c r="AF274" i="1"/>
  <c r="AB274" i="1"/>
  <c r="T274" i="1"/>
  <c r="L274" i="1"/>
  <c r="H274" i="1"/>
  <c r="D274" i="1"/>
  <c r="AZ273" i="1"/>
  <c r="AV273" i="1"/>
  <c r="AR273" i="1"/>
  <c r="AN273" i="1"/>
  <c r="AJ273" i="1"/>
  <c r="AF273" i="1"/>
  <c r="AB273" i="1"/>
  <c r="T273" i="1"/>
  <c r="L273" i="1"/>
  <c r="H273" i="1"/>
  <c r="D273" i="1"/>
  <c r="AZ272" i="1"/>
  <c r="AV272" i="1"/>
  <c r="AR272" i="1"/>
  <c r="AN272" i="1"/>
  <c r="AJ272" i="1"/>
  <c r="AF272" i="1"/>
  <c r="AB272" i="1"/>
  <c r="T272" i="1"/>
  <c r="L272" i="1"/>
  <c r="H272" i="1"/>
  <c r="D272" i="1"/>
  <c r="AZ271" i="1"/>
  <c r="AV271" i="1"/>
  <c r="AR271" i="1"/>
  <c r="AN271" i="1"/>
  <c r="AJ271" i="1"/>
  <c r="AF271" i="1"/>
  <c r="AB271" i="1"/>
  <c r="T271" i="1"/>
  <c r="L271" i="1"/>
  <c r="H271" i="1"/>
  <c r="D271" i="1"/>
  <c r="AZ270" i="1"/>
  <c r="AV270" i="1"/>
  <c r="AR270" i="1"/>
  <c r="AN270" i="1"/>
  <c r="AJ270" i="1"/>
  <c r="AF270" i="1"/>
  <c r="AB270" i="1"/>
  <c r="T270" i="1"/>
  <c r="L270" i="1"/>
  <c r="H270" i="1"/>
  <c r="D270" i="1"/>
  <c r="AZ269" i="1"/>
  <c r="AV269" i="1"/>
  <c r="AR269" i="1"/>
  <c r="AN269" i="1"/>
  <c r="AJ269" i="1"/>
  <c r="AF269" i="1"/>
  <c r="AB269" i="1"/>
  <c r="T269" i="1"/>
  <c r="L269" i="1"/>
  <c r="H269" i="1"/>
  <c r="D269" i="1"/>
  <c r="AZ268" i="1"/>
  <c r="AV268" i="1"/>
  <c r="AR268" i="1"/>
  <c r="AN268" i="1"/>
  <c r="AJ268" i="1"/>
  <c r="AF268" i="1"/>
  <c r="AB268" i="1"/>
  <c r="T268" i="1"/>
  <c r="L268" i="1"/>
  <c r="H268" i="1"/>
  <c r="D268" i="1"/>
  <c r="AZ267" i="1"/>
  <c r="AV267" i="1"/>
  <c r="AR267" i="1"/>
  <c r="AN267" i="1"/>
  <c r="AJ267" i="1"/>
  <c r="AF267" i="1"/>
  <c r="AB267" i="1"/>
  <c r="T267" i="1"/>
  <c r="L267" i="1"/>
  <c r="H267" i="1"/>
  <c r="D267" i="1"/>
  <c r="AZ266" i="1"/>
  <c r="AV266" i="1"/>
  <c r="AR266" i="1"/>
  <c r="AN266" i="1"/>
  <c r="AJ266" i="1"/>
  <c r="AF266" i="1"/>
  <c r="AB266" i="1"/>
  <c r="T266" i="1"/>
  <c r="L266" i="1"/>
  <c r="H266" i="1"/>
  <c r="D266" i="1"/>
  <c r="AZ265" i="1"/>
  <c r="AV265" i="1"/>
  <c r="AR265" i="1"/>
  <c r="AN265" i="1"/>
  <c r="AJ265" i="1"/>
  <c r="AF265" i="1"/>
  <c r="AB265" i="1"/>
  <c r="T265" i="1"/>
  <c r="L265" i="1"/>
  <c r="H265" i="1"/>
  <c r="D265" i="1"/>
  <c r="AZ264" i="1"/>
  <c r="AV264" i="1"/>
  <c r="AR264" i="1"/>
  <c r="AN264" i="1"/>
  <c r="AJ264" i="1"/>
  <c r="AF264" i="1"/>
  <c r="AB264" i="1"/>
  <c r="T264" i="1"/>
  <c r="L264" i="1"/>
  <c r="H264" i="1"/>
  <c r="D264" i="1"/>
  <c r="AZ263" i="1"/>
  <c r="AV263" i="1"/>
  <c r="AR263" i="1"/>
  <c r="AN263" i="1"/>
  <c r="AJ263" i="1"/>
  <c r="AF263" i="1"/>
  <c r="AB263" i="1"/>
  <c r="T263" i="1"/>
  <c r="L263" i="1"/>
  <c r="H263" i="1"/>
  <c r="D263" i="1"/>
  <c r="AZ262" i="1"/>
  <c r="AV262" i="1"/>
  <c r="AR262" i="1"/>
  <c r="AN262" i="1"/>
  <c r="AJ262" i="1"/>
  <c r="AF262" i="1"/>
  <c r="AB262" i="1"/>
  <c r="T262" i="1"/>
  <c r="L262" i="1"/>
  <c r="H262" i="1"/>
  <c r="D262" i="1"/>
  <c r="AZ261" i="1"/>
  <c r="AV261" i="1"/>
  <c r="AR261" i="1"/>
  <c r="AN261" i="1"/>
  <c r="AJ261" i="1"/>
  <c r="AF261" i="1"/>
  <c r="AB261" i="1"/>
  <c r="T261" i="1"/>
  <c r="L261" i="1"/>
  <c r="H261" i="1"/>
  <c r="D261" i="1"/>
  <c r="AZ260" i="1"/>
  <c r="AV260" i="1"/>
  <c r="AR260" i="1"/>
  <c r="AN260" i="1"/>
  <c r="AJ260" i="1"/>
  <c r="AF260" i="1"/>
  <c r="AB260" i="1"/>
  <c r="T260" i="1"/>
  <c r="L260" i="1"/>
  <c r="H260" i="1"/>
  <c r="D260" i="1"/>
  <c r="AZ259" i="1"/>
  <c r="AV259" i="1"/>
  <c r="AR259" i="1"/>
  <c r="AN259" i="1"/>
  <c r="AJ259" i="1"/>
  <c r="AF259" i="1"/>
  <c r="AB259" i="1"/>
  <c r="T259" i="1"/>
  <c r="L259" i="1"/>
  <c r="H259" i="1"/>
  <c r="D259" i="1"/>
  <c r="AZ258" i="1"/>
  <c r="AV258" i="1"/>
  <c r="AR258" i="1"/>
  <c r="AN258" i="1"/>
  <c r="AJ258" i="1"/>
  <c r="AF258" i="1"/>
  <c r="AB258" i="1"/>
  <c r="T258" i="1"/>
  <c r="L258" i="1"/>
  <c r="H258" i="1"/>
  <c r="D258" i="1"/>
  <c r="AZ257" i="1"/>
  <c r="AV257" i="1"/>
  <c r="AR257" i="1"/>
  <c r="AN257" i="1"/>
  <c r="AJ257" i="1"/>
  <c r="AF257" i="1"/>
  <c r="AB257" i="1"/>
  <c r="T257" i="1"/>
  <c r="L257" i="1"/>
  <c r="H257" i="1"/>
  <c r="D257" i="1"/>
  <c r="AZ256" i="1"/>
  <c r="AV256" i="1"/>
  <c r="AR256" i="1"/>
  <c r="AN256" i="1"/>
  <c r="AJ256" i="1"/>
  <c r="AF256" i="1"/>
  <c r="AB256" i="1"/>
  <c r="T256" i="1"/>
  <c r="L256" i="1"/>
  <c r="H256" i="1"/>
  <c r="D256" i="1"/>
  <c r="AZ255" i="1"/>
  <c r="AV255" i="1"/>
  <c r="AR255" i="1"/>
  <c r="AN255" i="1"/>
  <c r="AJ255" i="1"/>
  <c r="AF255" i="1"/>
  <c r="AB255" i="1"/>
  <c r="T255" i="1"/>
  <c r="L255" i="1"/>
  <c r="H255" i="1"/>
  <c r="D255" i="1"/>
  <c r="AZ254" i="1"/>
  <c r="AV254" i="1"/>
  <c r="AR254" i="1"/>
  <c r="AN254" i="1"/>
  <c r="AJ254" i="1"/>
  <c r="AF254" i="1"/>
  <c r="AB254" i="1"/>
  <c r="T254" i="1"/>
  <c r="L254" i="1"/>
  <c r="H254" i="1"/>
  <c r="D254" i="1"/>
  <c r="AZ253" i="1"/>
  <c r="AV253" i="1"/>
  <c r="AR253" i="1"/>
  <c r="AN253" i="1"/>
  <c r="AJ253" i="1"/>
  <c r="AF253" i="1"/>
  <c r="AB253" i="1"/>
  <c r="T253" i="1"/>
  <c r="L253" i="1"/>
  <c r="H253" i="1"/>
  <c r="D253" i="1"/>
  <c r="AZ252" i="1"/>
  <c r="AV252" i="1"/>
  <c r="AR252" i="1"/>
  <c r="AN252" i="1"/>
  <c r="AJ252" i="1"/>
  <c r="AF252" i="1"/>
  <c r="AB252" i="1"/>
  <c r="T252" i="1"/>
  <c r="L252" i="1"/>
  <c r="H252" i="1"/>
  <c r="D252" i="1"/>
  <c r="AZ251" i="1"/>
  <c r="AV251" i="1"/>
  <c r="AR251" i="1"/>
  <c r="AN251" i="1"/>
  <c r="AJ251" i="1"/>
  <c r="AF251" i="1"/>
  <c r="AB251" i="1"/>
  <c r="T251" i="1"/>
  <c r="L251" i="1"/>
  <c r="H251" i="1"/>
  <c r="D251" i="1"/>
  <c r="AZ250" i="1"/>
  <c r="AV250" i="1"/>
  <c r="AR250" i="1"/>
  <c r="AN250" i="1"/>
  <c r="AJ250" i="1"/>
  <c r="AF250" i="1"/>
  <c r="AB250" i="1"/>
  <c r="T250" i="1"/>
  <c r="L250" i="1"/>
  <c r="H250" i="1"/>
  <c r="D250" i="1"/>
  <c r="AZ249" i="1"/>
  <c r="AV249" i="1"/>
  <c r="AR249" i="1"/>
  <c r="AN249" i="1"/>
  <c r="AJ249" i="1"/>
  <c r="AF249" i="1"/>
  <c r="AB249" i="1"/>
  <c r="T249" i="1"/>
  <c r="L249" i="1"/>
  <c r="H249" i="1"/>
  <c r="D249" i="1"/>
  <c r="AZ248" i="1"/>
  <c r="AV248" i="1"/>
  <c r="AR248" i="1"/>
  <c r="AN248" i="1"/>
  <c r="AJ248" i="1"/>
  <c r="AF248" i="1"/>
  <c r="AB248" i="1"/>
  <c r="T248" i="1"/>
  <c r="L248" i="1"/>
  <c r="H248" i="1"/>
  <c r="D248" i="1"/>
  <c r="AZ247" i="1"/>
  <c r="AV247" i="1"/>
  <c r="AR247" i="1"/>
  <c r="AN247" i="1"/>
  <c r="AJ247" i="1"/>
  <c r="AF247" i="1"/>
  <c r="AB247" i="1"/>
  <c r="T247" i="1"/>
  <c r="L247" i="1"/>
  <c r="H247" i="1"/>
  <c r="D247" i="1"/>
  <c r="AZ246" i="1"/>
  <c r="AV246" i="1"/>
  <c r="AR246" i="1"/>
  <c r="AN246" i="1"/>
  <c r="AJ246" i="1"/>
  <c r="AF246" i="1"/>
  <c r="AB246" i="1"/>
  <c r="T246" i="1"/>
  <c r="L246" i="1"/>
  <c r="H246" i="1"/>
  <c r="D246" i="1"/>
  <c r="AZ245" i="1"/>
  <c r="AV245" i="1"/>
  <c r="AR245" i="1"/>
  <c r="AN245" i="1"/>
  <c r="AJ245" i="1"/>
  <c r="AF245" i="1"/>
  <c r="AB245" i="1"/>
  <c r="T245" i="1"/>
  <c r="L245" i="1"/>
  <c r="H245" i="1"/>
  <c r="D245" i="1"/>
  <c r="AZ244" i="1"/>
  <c r="AV244" i="1"/>
  <c r="AR244" i="1"/>
  <c r="AN244" i="1"/>
  <c r="AJ244" i="1"/>
  <c r="AF244" i="1"/>
  <c r="AB244" i="1"/>
  <c r="T244" i="1"/>
  <c r="L244" i="1"/>
  <c r="H244" i="1"/>
  <c r="D244" i="1"/>
  <c r="AZ243" i="1"/>
  <c r="AV243" i="1"/>
  <c r="AR243" i="1"/>
  <c r="AN243" i="1"/>
  <c r="AJ243" i="1"/>
  <c r="AF243" i="1"/>
  <c r="AB243" i="1"/>
  <c r="T243" i="1"/>
  <c r="L243" i="1"/>
  <c r="H243" i="1"/>
  <c r="D243" i="1"/>
  <c r="AZ242" i="1"/>
  <c r="AV242" i="1"/>
  <c r="AR242" i="1"/>
  <c r="AN242" i="1"/>
  <c r="AJ242" i="1"/>
  <c r="AF242" i="1"/>
  <c r="AB242" i="1"/>
  <c r="T242" i="1"/>
  <c r="L242" i="1"/>
  <c r="H242" i="1"/>
  <c r="D242" i="1"/>
  <c r="AZ241" i="1"/>
  <c r="AV241" i="1"/>
  <c r="AR241" i="1"/>
  <c r="AN241" i="1"/>
  <c r="AJ241" i="1"/>
  <c r="AF241" i="1"/>
  <c r="AB241" i="1"/>
  <c r="T241" i="1"/>
  <c r="L241" i="1"/>
  <c r="H241" i="1"/>
  <c r="D241" i="1"/>
  <c r="AZ240" i="1"/>
  <c r="AV240" i="1"/>
  <c r="AR240" i="1"/>
  <c r="AN240" i="1"/>
  <c r="AJ240" i="1"/>
  <c r="AF240" i="1"/>
  <c r="AB240" i="1"/>
  <c r="T240" i="1"/>
  <c r="L240" i="1"/>
  <c r="H240" i="1"/>
  <c r="D240" i="1"/>
  <c r="AZ239" i="1"/>
  <c r="AV239" i="1"/>
  <c r="AR239" i="1"/>
  <c r="AN239" i="1"/>
  <c r="AJ239" i="1"/>
  <c r="AF239" i="1"/>
  <c r="AB239" i="1"/>
  <c r="T239" i="1"/>
  <c r="L239" i="1"/>
  <c r="H239" i="1"/>
  <c r="D239" i="1"/>
  <c r="AZ238" i="1"/>
  <c r="AV238" i="1"/>
  <c r="AR238" i="1"/>
  <c r="AN238" i="1"/>
  <c r="AJ238" i="1"/>
  <c r="AF238" i="1"/>
  <c r="AB238" i="1"/>
  <c r="T238" i="1"/>
  <c r="L238" i="1"/>
  <c r="H238" i="1"/>
  <c r="D238" i="1"/>
  <c r="AZ237" i="1"/>
  <c r="AV237" i="1"/>
  <c r="AR237" i="1"/>
  <c r="AN237" i="1"/>
  <c r="AJ237" i="1"/>
  <c r="AF237" i="1"/>
  <c r="AB237" i="1"/>
  <c r="T237" i="1"/>
  <c r="L237" i="1"/>
  <c r="H237" i="1"/>
  <c r="D237" i="1"/>
  <c r="AZ236" i="1"/>
  <c r="AV236" i="1"/>
  <c r="AR236" i="1"/>
  <c r="AN236" i="1"/>
  <c r="AJ236" i="1"/>
  <c r="AF236" i="1"/>
  <c r="AB236" i="1"/>
  <c r="T236" i="1"/>
  <c r="L236" i="1"/>
  <c r="H236" i="1"/>
  <c r="D236" i="1"/>
  <c r="AZ235" i="1"/>
  <c r="AV235" i="1"/>
  <c r="AR235" i="1"/>
  <c r="AN235" i="1"/>
  <c r="AJ235" i="1"/>
  <c r="AF235" i="1"/>
  <c r="AB235" i="1"/>
  <c r="T235" i="1"/>
  <c r="L235" i="1"/>
  <c r="H235" i="1"/>
  <c r="D235" i="1"/>
  <c r="AZ234" i="1"/>
  <c r="AV234" i="1"/>
  <c r="AR234" i="1"/>
  <c r="AN234" i="1"/>
  <c r="AJ234" i="1"/>
  <c r="AF234" i="1"/>
  <c r="AB234" i="1"/>
  <c r="T234" i="1"/>
  <c r="L234" i="1"/>
  <c r="H234" i="1"/>
  <c r="D234" i="1"/>
  <c r="AZ233" i="1"/>
  <c r="AV233" i="1"/>
  <c r="AR233" i="1"/>
  <c r="AN233" i="1"/>
  <c r="AJ233" i="1"/>
  <c r="AF233" i="1"/>
  <c r="AB233" i="1"/>
  <c r="T233" i="1"/>
  <c r="L233" i="1"/>
  <c r="H233" i="1"/>
  <c r="D233" i="1"/>
  <c r="AZ232" i="1"/>
  <c r="AV232" i="1"/>
  <c r="AR232" i="1"/>
  <c r="AN232" i="1"/>
  <c r="AJ232" i="1"/>
  <c r="AF232" i="1"/>
  <c r="AB232" i="1"/>
  <c r="T232" i="1"/>
  <c r="L232" i="1"/>
  <c r="H232" i="1"/>
  <c r="D232" i="1"/>
  <c r="AZ231" i="1"/>
  <c r="AV231" i="1"/>
  <c r="AR231" i="1"/>
  <c r="AN231" i="1"/>
  <c r="AJ231" i="1"/>
  <c r="AF231" i="1"/>
  <c r="AB231" i="1"/>
  <c r="T231" i="1"/>
  <c r="L231" i="1"/>
  <c r="H231" i="1"/>
  <c r="D231" i="1"/>
  <c r="AZ230" i="1"/>
  <c r="AV230" i="1"/>
  <c r="AR230" i="1"/>
  <c r="AN230" i="1"/>
  <c r="AJ230" i="1"/>
  <c r="AF230" i="1"/>
  <c r="AB230" i="1"/>
  <c r="T230" i="1"/>
  <c r="L230" i="1"/>
  <c r="H230" i="1"/>
  <c r="D230" i="1"/>
  <c r="AZ229" i="1"/>
  <c r="AV229" i="1"/>
  <c r="AR229" i="1"/>
  <c r="AN229" i="1"/>
  <c r="AJ229" i="1"/>
  <c r="AF229" i="1"/>
  <c r="AB229" i="1"/>
  <c r="T229" i="1"/>
  <c r="L229" i="1"/>
  <c r="H229" i="1"/>
  <c r="D229" i="1"/>
  <c r="AZ228" i="1"/>
  <c r="AV228" i="1"/>
  <c r="AR228" i="1"/>
  <c r="AN228" i="1"/>
  <c r="AJ228" i="1"/>
  <c r="AF228" i="1"/>
  <c r="AB228" i="1"/>
  <c r="T228" i="1"/>
  <c r="L228" i="1"/>
  <c r="H228" i="1"/>
  <c r="D228" i="1"/>
  <c r="AZ227" i="1"/>
  <c r="AV227" i="1"/>
  <c r="AR227" i="1"/>
  <c r="AN227" i="1"/>
  <c r="AJ227" i="1"/>
  <c r="AF227" i="1"/>
  <c r="AB227" i="1"/>
  <c r="T227" i="1"/>
  <c r="L227" i="1"/>
  <c r="H227" i="1"/>
  <c r="D227" i="1"/>
  <c r="AZ226" i="1"/>
  <c r="AV226" i="1"/>
  <c r="AR226" i="1"/>
  <c r="AN226" i="1"/>
  <c r="AJ226" i="1"/>
  <c r="AF226" i="1"/>
  <c r="AB226" i="1"/>
  <c r="T226" i="1"/>
  <c r="L226" i="1"/>
  <c r="H226" i="1"/>
  <c r="D226" i="1"/>
  <c r="AZ225" i="1"/>
  <c r="AV225" i="1"/>
  <c r="AR225" i="1"/>
  <c r="AN225" i="1"/>
  <c r="AJ225" i="1"/>
  <c r="AF225" i="1"/>
  <c r="AB225" i="1"/>
  <c r="T225" i="1"/>
  <c r="L225" i="1"/>
  <c r="H225" i="1"/>
  <c r="D225" i="1"/>
  <c r="AZ224" i="1"/>
  <c r="AV224" i="1"/>
  <c r="AR224" i="1"/>
  <c r="AN224" i="1"/>
  <c r="AJ224" i="1"/>
  <c r="AF224" i="1"/>
  <c r="AB224" i="1"/>
  <c r="T224" i="1"/>
  <c r="L224" i="1"/>
  <c r="H224" i="1"/>
  <c r="D224" i="1"/>
  <c r="AZ223" i="1"/>
  <c r="AV223" i="1"/>
  <c r="AR223" i="1"/>
  <c r="AN223" i="1"/>
  <c r="AJ223" i="1"/>
  <c r="AF223" i="1"/>
  <c r="AB223" i="1"/>
  <c r="T223" i="1"/>
  <c r="L223" i="1"/>
  <c r="H223" i="1"/>
  <c r="D223" i="1"/>
  <c r="AZ222" i="1"/>
  <c r="AV222" i="1"/>
  <c r="AR222" i="1"/>
  <c r="AN222" i="1"/>
  <c r="AJ222" i="1"/>
  <c r="AF222" i="1"/>
  <c r="AB222" i="1"/>
  <c r="T222" i="1"/>
  <c r="L222" i="1"/>
  <c r="H222" i="1"/>
  <c r="D222" i="1"/>
  <c r="AZ221" i="1"/>
  <c r="AV221" i="1"/>
  <c r="AR221" i="1"/>
  <c r="AN221" i="1"/>
  <c r="AJ221" i="1"/>
  <c r="AF221" i="1"/>
  <c r="AB221" i="1"/>
  <c r="T221" i="1"/>
  <c r="L221" i="1"/>
  <c r="H221" i="1"/>
  <c r="D221" i="1"/>
  <c r="AZ220" i="1"/>
  <c r="AV220" i="1"/>
  <c r="AR220" i="1"/>
  <c r="AN220" i="1"/>
  <c r="AJ220" i="1"/>
  <c r="AF220" i="1"/>
  <c r="AB220" i="1"/>
  <c r="T220" i="1"/>
  <c r="L220" i="1"/>
  <c r="H220" i="1"/>
  <c r="D220" i="1"/>
  <c r="AZ219" i="1"/>
  <c r="AV219" i="1"/>
  <c r="AR219" i="1"/>
  <c r="AN219" i="1"/>
  <c r="AJ219" i="1"/>
  <c r="AF219" i="1"/>
  <c r="AB219" i="1"/>
  <c r="T219" i="1"/>
  <c r="L219" i="1"/>
  <c r="H219" i="1"/>
  <c r="D219" i="1"/>
  <c r="AZ218" i="1"/>
  <c r="AV218" i="1"/>
  <c r="AR218" i="1"/>
  <c r="AN218" i="1"/>
  <c r="AJ218" i="1"/>
  <c r="AF218" i="1"/>
  <c r="AB218" i="1"/>
  <c r="T218" i="1"/>
  <c r="L218" i="1"/>
  <c r="H218" i="1"/>
  <c r="D218" i="1"/>
  <c r="AZ217" i="1"/>
  <c r="AV217" i="1"/>
  <c r="AR217" i="1"/>
  <c r="AN217" i="1"/>
  <c r="AJ217" i="1"/>
  <c r="AF217" i="1"/>
  <c r="AB217" i="1"/>
  <c r="T217" i="1"/>
  <c r="L217" i="1"/>
  <c r="H217" i="1"/>
  <c r="D217" i="1"/>
  <c r="AZ216" i="1"/>
  <c r="AV216" i="1"/>
  <c r="AR216" i="1"/>
  <c r="AN216" i="1"/>
  <c r="AJ216" i="1"/>
  <c r="AF216" i="1"/>
  <c r="AB216" i="1"/>
  <c r="T216" i="1"/>
  <c r="L216" i="1"/>
  <c r="H216" i="1"/>
  <c r="D216" i="1"/>
  <c r="AZ215" i="1"/>
  <c r="AV215" i="1"/>
  <c r="AR215" i="1"/>
  <c r="AN215" i="1"/>
  <c r="AJ215" i="1"/>
  <c r="AF215" i="1"/>
  <c r="AB215" i="1"/>
  <c r="T215" i="1"/>
  <c r="L215" i="1"/>
  <c r="H215" i="1"/>
  <c r="D215" i="1"/>
  <c r="AZ214" i="1"/>
  <c r="AV214" i="1"/>
  <c r="AR214" i="1"/>
  <c r="AN214" i="1"/>
  <c r="AJ214" i="1"/>
  <c r="AF214" i="1"/>
  <c r="AB214" i="1"/>
  <c r="T214" i="1"/>
  <c r="L214" i="1"/>
  <c r="H214" i="1"/>
  <c r="D214" i="1"/>
  <c r="AZ213" i="1"/>
  <c r="AV213" i="1"/>
  <c r="AR213" i="1"/>
  <c r="AN213" i="1"/>
  <c r="AJ213" i="1"/>
  <c r="AF213" i="1"/>
  <c r="AB213" i="1"/>
  <c r="T213" i="1"/>
  <c r="L213" i="1"/>
  <c r="H213" i="1"/>
  <c r="D213" i="1"/>
  <c r="AZ212" i="1"/>
  <c r="AV212" i="1"/>
  <c r="AR212" i="1"/>
  <c r="AN212" i="1"/>
  <c r="AJ212" i="1"/>
  <c r="AF212" i="1"/>
  <c r="AB212" i="1"/>
  <c r="T212" i="1"/>
  <c r="L212" i="1"/>
  <c r="H212" i="1"/>
  <c r="D212" i="1"/>
  <c r="AZ211" i="1"/>
  <c r="AV211" i="1"/>
  <c r="AR211" i="1"/>
  <c r="AN211" i="1"/>
  <c r="AJ211" i="1"/>
  <c r="AF211" i="1"/>
  <c r="AB211" i="1"/>
  <c r="T211" i="1"/>
  <c r="L211" i="1"/>
  <c r="H211" i="1"/>
  <c r="D211" i="1"/>
  <c r="AZ210" i="1"/>
  <c r="AV210" i="1"/>
  <c r="AR210" i="1"/>
  <c r="AN210" i="1"/>
  <c r="AJ210" i="1"/>
  <c r="AF210" i="1"/>
  <c r="AB210" i="1"/>
  <c r="T210" i="1"/>
  <c r="L210" i="1"/>
  <c r="H210" i="1"/>
  <c r="D210" i="1"/>
  <c r="AZ209" i="1"/>
  <c r="AV209" i="1"/>
  <c r="AR209" i="1"/>
  <c r="AN209" i="1"/>
  <c r="AJ209" i="1"/>
  <c r="AF209" i="1"/>
  <c r="AB209" i="1"/>
  <c r="T209" i="1"/>
  <c r="L209" i="1"/>
  <c r="H209" i="1"/>
  <c r="D209" i="1"/>
  <c r="AZ208" i="1"/>
  <c r="AV208" i="1"/>
  <c r="AR208" i="1"/>
  <c r="AN208" i="1"/>
  <c r="AJ208" i="1"/>
  <c r="AF208" i="1"/>
  <c r="AB208" i="1"/>
  <c r="T208" i="1"/>
  <c r="L208" i="1"/>
  <c r="H208" i="1"/>
  <c r="D208" i="1"/>
  <c r="AZ207" i="1"/>
  <c r="AV207" i="1"/>
  <c r="AR207" i="1"/>
  <c r="AN207" i="1"/>
  <c r="AJ207" i="1"/>
  <c r="AF207" i="1"/>
  <c r="AB207" i="1"/>
  <c r="T207" i="1"/>
  <c r="L207" i="1"/>
  <c r="H207" i="1"/>
  <c r="D207" i="1"/>
  <c r="AZ206" i="1"/>
  <c r="AV206" i="1"/>
  <c r="AR206" i="1"/>
  <c r="AN206" i="1"/>
  <c r="AJ206" i="1"/>
  <c r="AF206" i="1"/>
  <c r="AB206" i="1"/>
  <c r="T206" i="1"/>
  <c r="L206" i="1"/>
  <c r="H206" i="1"/>
  <c r="D206" i="1"/>
  <c r="AZ205" i="1"/>
  <c r="AV205" i="1"/>
  <c r="AR205" i="1"/>
  <c r="AN205" i="1"/>
  <c r="AJ205" i="1"/>
  <c r="AF205" i="1"/>
  <c r="AB205" i="1"/>
  <c r="T205" i="1"/>
  <c r="L205" i="1"/>
  <c r="H205" i="1"/>
  <c r="D205" i="1"/>
  <c r="AZ204" i="1"/>
  <c r="AV204" i="1"/>
  <c r="AR204" i="1"/>
  <c r="AN204" i="1"/>
  <c r="AJ204" i="1"/>
  <c r="AF204" i="1"/>
  <c r="AB204" i="1"/>
  <c r="T204" i="1"/>
  <c r="L204" i="1"/>
  <c r="H204" i="1"/>
  <c r="D204" i="1"/>
  <c r="AZ203" i="1"/>
  <c r="AV203" i="1"/>
  <c r="AR203" i="1"/>
  <c r="AN203" i="1"/>
  <c r="AJ203" i="1"/>
  <c r="AF203" i="1"/>
  <c r="AB203" i="1"/>
  <c r="T203" i="1"/>
  <c r="L203" i="1"/>
  <c r="H203" i="1"/>
  <c r="D203" i="1"/>
  <c r="AZ202" i="1"/>
  <c r="AV202" i="1"/>
  <c r="AR202" i="1"/>
  <c r="AN202" i="1"/>
  <c r="AJ202" i="1"/>
  <c r="AF202" i="1"/>
  <c r="AB202" i="1"/>
  <c r="T202" i="1"/>
  <c r="L202" i="1"/>
  <c r="H202" i="1"/>
  <c r="D202" i="1"/>
  <c r="AZ201" i="1"/>
  <c r="AV201" i="1"/>
  <c r="AR201" i="1"/>
  <c r="AN201" i="1"/>
  <c r="AJ201" i="1"/>
  <c r="AF201" i="1"/>
  <c r="AB201" i="1"/>
  <c r="T201" i="1"/>
  <c r="L201" i="1"/>
  <c r="H201" i="1"/>
  <c r="D201" i="1"/>
  <c r="AZ200" i="1"/>
  <c r="AV200" i="1"/>
  <c r="AR200" i="1"/>
  <c r="AN200" i="1"/>
  <c r="AJ200" i="1"/>
  <c r="AF200" i="1"/>
  <c r="AB200" i="1"/>
  <c r="T200" i="1"/>
  <c r="L200" i="1"/>
  <c r="H200" i="1"/>
  <c r="D200" i="1"/>
  <c r="AZ199" i="1"/>
  <c r="AV199" i="1"/>
  <c r="AR199" i="1"/>
  <c r="AN199" i="1"/>
  <c r="AJ199" i="1"/>
  <c r="AF199" i="1"/>
  <c r="AB199" i="1"/>
  <c r="T199" i="1"/>
  <c r="L199" i="1"/>
  <c r="H199" i="1"/>
  <c r="D199" i="1"/>
  <c r="AZ198" i="1"/>
  <c r="AV198" i="1"/>
  <c r="AR198" i="1"/>
  <c r="AN198" i="1"/>
  <c r="AJ198" i="1"/>
  <c r="AF198" i="1"/>
  <c r="AB198" i="1"/>
  <c r="T198" i="1"/>
  <c r="L198" i="1"/>
  <c r="H198" i="1"/>
  <c r="D198" i="1"/>
  <c r="AZ197" i="1"/>
  <c r="AV197" i="1"/>
  <c r="AR197" i="1"/>
  <c r="AN197" i="1"/>
  <c r="AJ197" i="1"/>
  <c r="AF197" i="1"/>
  <c r="AB197" i="1"/>
  <c r="T197" i="1"/>
  <c r="L197" i="1"/>
  <c r="H197" i="1"/>
  <c r="D197" i="1"/>
  <c r="AZ196" i="1"/>
  <c r="AV196" i="1"/>
  <c r="AR196" i="1"/>
  <c r="AN196" i="1"/>
  <c r="AJ196" i="1"/>
  <c r="AF196" i="1"/>
  <c r="AB196" i="1"/>
  <c r="T196" i="1"/>
  <c r="L196" i="1"/>
  <c r="H196" i="1"/>
  <c r="D196" i="1"/>
  <c r="AZ195" i="1"/>
  <c r="AV195" i="1"/>
  <c r="AR195" i="1"/>
  <c r="AN195" i="1"/>
  <c r="AJ195" i="1"/>
  <c r="AF195" i="1"/>
  <c r="AB195" i="1"/>
  <c r="T195" i="1"/>
  <c r="L195" i="1"/>
  <c r="H195" i="1"/>
  <c r="D195" i="1"/>
  <c r="AZ194" i="1"/>
  <c r="AV194" i="1"/>
  <c r="AR194" i="1"/>
  <c r="AN194" i="1"/>
  <c r="AJ194" i="1"/>
  <c r="AF194" i="1"/>
  <c r="AB194" i="1"/>
  <c r="T194" i="1"/>
  <c r="L194" i="1"/>
  <c r="H194" i="1"/>
  <c r="D194" i="1"/>
  <c r="AZ193" i="1"/>
  <c r="AV193" i="1"/>
  <c r="AR193" i="1"/>
  <c r="AN193" i="1"/>
  <c r="AJ193" i="1"/>
  <c r="AF193" i="1"/>
  <c r="AB193" i="1"/>
  <c r="T193" i="1"/>
  <c r="L193" i="1"/>
  <c r="H193" i="1"/>
  <c r="D193" i="1"/>
  <c r="AZ192" i="1"/>
  <c r="AV192" i="1"/>
  <c r="AR192" i="1"/>
  <c r="AN192" i="1"/>
  <c r="AJ192" i="1"/>
  <c r="AF192" i="1"/>
  <c r="AB192" i="1"/>
  <c r="T192" i="1"/>
  <c r="L192" i="1"/>
  <c r="H192" i="1"/>
  <c r="D192" i="1"/>
  <c r="AZ191" i="1"/>
  <c r="AV191" i="1"/>
  <c r="AR191" i="1"/>
  <c r="AN191" i="1"/>
  <c r="AJ191" i="1"/>
  <c r="AF191" i="1"/>
  <c r="AB191" i="1"/>
  <c r="T191" i="1"/>
  <c r="L191" i="1"/>
  <c r="H191" i="1"/>
  <c r="D191" i="1"/>
  <c r="AZ190" i="1"/>
  <c r="AV190" i="1"/>
  <c r="AR190" i="1"/>
  <c r="AN190" i="1"/>
  <c r="AJ190" i="1"/>
  <c r="AF190" i="1"/>
  <c r="AB190" i="1"/>
  <c r="T190" i="1"/>
  <c r="L190" i="1"/>
  <c r="H190" i="1"/>
  <c r="D190" i="1"/>
  <c r="AZ189" i="1"/>
  <c r="AV189" i="1"/>
  <c r="AR189" i="1"/>
  <c r="AN189" i="1"/>
  <c r="AJ189" i="1"/>
  <c r="AF189" i="1"/>
  <c r="AB189" i="1"/>
  <c r="T189" i="1"/>
  <c r="L189" i="1"/>
  <c r="H189" i="1"/>
  <c r="D189" i="1"/>
  <c r="AZ188" i="1"/>
  <c r="AV188" i="1"/>
  <c r="AR188" i="1"/>
  <c r="AN188" i="1"/>
  <c r="AJ188" i="1"/>
  <c r="AF188" i="1"/>
  <c r="AB188" i="1"/>
  <c r="T188" i="1"/>
  <c r="L188" i="1"/>
  <c r="H188" i="1"/>
  <c r="D188" i="1"/>
  <c r="AZ187" i="1"/>
  <c r="AV187" i="1"/>
  <c r="AR187" i="1"/>
  <c r="AN187" i="1"/>
  <c r="AJ187" i="1"/>
  <c r="AF187" i="1"/>
  <c r="AB187" i="1"/>
  <c r="T187" i="1"/>
  <c r="L187" i="1"/>
  <c r="H187" i="1"/>
  <c r="D187" i="1"/>
  <c r="AZ186" i="1"/>
  <c r="AV186" i="1"/>
  <c r="AR186" i="1"/>
  <c r="AN186" i="1"/>
  <c r="AJ186" i="1"/>
  <c r="AF186" i="1"/>
  <c r="AB186" i="1"/>
  <c r="T186" i="1"/>
  <c r="L186" i="1"/>
  <c r="H186" i="1"/>
  <c r="D186" i="1"/>
  <c r="AZ185" i="1"/>
  <c r="AV185" i="1"/>
  <c r="AR185" i="1"/>
  <c r="AN185" i="1"/>
  <c r="AJ185" i="1"/>
  <c r="AF185" i="1"/>
  <c r="AB185" i="1"/>
  <c r="T185" i="1"/>
  <c r="L185" i="1"/>
  <c r="H185" i="1"/>
  <c r="D185" i="1"/>
  <c r="AZ184" i="1"/>
  <c r="AV184" i="1"/>
  <c r="AR184" i="1"/>
  <c r="AN184" i="1"/>
  <c r="AJ184" i="1"/>
  <c r="AF184" i="1"/>
  <c r="AB184" i="1"/>
  <c r="T184" i="1"/>
  <c r="L184" i="1"/>
  <c r="H184" i="1"/>
  <c r="D184" i="1"/>
  <c r="AZ183" i="1"/>
  <c r="AV183" i="1"/>
  <c r="AR183" i="1"/>
  <c r="AN183" i="1"/>
  <c r="AJ183" i="1"/>
  <c r="AF183" i="1"/>
  <c r="AB183" i="1"/>
  <c r="T183" i="1"/>
  <c r="L183" i="1"/>
  <c r="H183" i="1"/>
  <c r="D183" i="1"/>
  <c r="AZ182" i="1"/>
  <c r="AV182" i="1"/>
  <c r="AR182" i="1"/>
  <c r="AN182" i="1"/>
  <c r="AJ182" i="1"/>
  <c r="AF182" i="1"/>
  <c r="AB182" i="1"/>
  <c r="T182" i="1"/>
  <c r="L182" i="1"/>
  <c r="H182" i="1"/>
  <c r="D182" i="1"/>
  <c r="AZ181" i="1"/>
  <c r="AV181" i="1"/>
  <c r="AR181" i="1"/>
  <c r="AN181" i="1"/>
  <c r="AJ181" i="1"/>
  <c r="AF181" i="1"/>
  <c r="AB181" i="1"/>
  <c r="T181" i="1"/>
  <c r="L181" i="1"/>
  <c r="H181" i="1"/>
  <c r="D181" i="1"/>
  <c r="AZ180" i="1"/>
  <c r="AV180" i="1"/>
  <c r="AR180" i="1"/>
  <c r="AN180" i="1"/>
  <c r="AJ180" i="1"/>
  <c r="AF180" i="1"/>
  <c r="AB180" i="1"/>
  <c r="T180" i="1"/>
  <c r="L180" i="1"/>
  <c r="H180" i="1"/>
  <c r="D180" i="1"/>
  <c r="AZ179" i="1"/>
  <c r="AV179" i="1"/>
  <c r="AR179" i="1"/>
  <c r="AN179" i="1"/>
  <c r="AJ179" i="1"/>
  <c r="AF179" i="1"/>
  <c r="AB179" i="1"/>
  <c r="T179" i="1"/>
  <c r="L179" i="1"/>
  <c r="H179" i="1"/>
  <c r="D179" i="1"/>
  <c r="AZ178" i="1"/>
  <c r="AV178" i="1"/>
  <c r="AR178" i="1"/>
  <c r="AN178" i="1"/>
  <c r="AJ178" i="1"/>
  <c r="AF178" i="1"/>
  <c r="AB178" i="1"/>
  <c r="T178" i="1"/>
  <c r="L178" i="1"/>
  <c r="H178" i="1"/>
  <c r="D178" i="1"/>
  <c r="AZ177" i="1"/>
  <c r="AV177" i="1"/>
  <c r="AR177" i="1"/>
  <c r="AN177" i="1"/>
  <c r="AJ177" i="1"/>
  <c r="AF177" i="1"/>
  <c r="AB177" i="1"/>
  <c r="T177" i="1"/>
  <c r="L177" i="1"/>
  <c r="H177" i="1"/>
  <c r="D177" i="1"/>
  <c r="AZ176" i="1"/>
  <c r="AV176" i="1"/>
  <c r="AR176" i="1"/>
  <c r="AN176" i="1"/>
  <c r="AJ176" i="1"/>
  <c r="AF176" i="1"/>
  <c r="AB176" i="1"/>
  <c r="T176" i="1"/>
  <c r="L176" i="1"/>
  <c r="H176" i="1"/>
  <c r="D176" i="1"/>
  <c r="AZ175" i="1"/>
  <c r="AV175" i="1"/>
  <c r="AR175" i="1"/>
  <c r="AN175" i="1"/>
  <c r="AJ175" i="1"/>
  <c r="AF175" i="1"/>
  <c r="AB175" i="1"/>
  <c r="T175" i="1"/>
  <c r="L175" i="1"/>
  <c r="H175" i="1"/>
  <c r="D175" i="1"/>
  <c r="AZ174" i="1"/>
  <c r="AV174" i="1"/>
  <c r="AR174" i="1"/>
  <c r="AN174" i="1"/>
  <c r="AJ174" i="1"/>
  <c r="AF174" i="1"/>
  <c r="AB174" i="1"/>
  <c r="T174" i="1"/>
  <c r="L174" i="1"/>
  <c r="H174" i="1"/>
  <c r="D174" i="1"/>
  <c r="AZ173" i="1"/>
  <c r="AV173" i="1"/>
  <c r="AR173" i="1"/>
  <c r="AN173" i="1"/>
  <c r="AJ173" i="1"/>
  <c r="AF173" i="1"/>
  <c r="AB173" i="1"/>
  <c r="T173" i="1"/>
  <c r="L173" i="1"/>
  <c r="H173" i="1"/>
  <c r="D173" i="1"/>
  <c r="AZ172" i="1"/>
  <c r="AV172" i="1"/>
  <c r="AR172" i="1"/>
  <c r="AN172" i="1"/>
  <c r="AJ172" i="1"/>
  <c r="AF172" i="1"/>
  <c r="AB172" i="1"/>
  <c r="T172" i="1"/>
  <c r="L172" i="1"/>
  <c r="H172" i="1"/>
  <c r="D172" i="1"/>
  <c r="AZ171" i="1"/>
  <c r="AV171" i="1"/>
  <c r="AR171" i="1"/>
  <c r="AN171" i="1"/>
  <c r="AJ171" i="1"/>
  <c r="AF171" i="1"/>
  <c r="AB171" i="1"/>
  <c r="T171" i="1"/>
  <c r="L171" i="1"/>
  <c r="H171" i="1"/>
  <c r="D171" i="1"/>
  <c r="AZ170" i="1"/>
  <c r="AV170" i="1"/>
  <c r="AR170" i="1"/>
  <c r="AN170" i="1"/>
  <c r="AJ170" i="1"/>
  <c r="AF170" i="1"/>
  <c r="AB170" i="1"/>
  <c r="T170" i="1"/>
  <c r="L170" i="1"/>
  <c r="H170" i="1"/>
  <c r="D170" i="1"/>
  <c r="AZ169" i="1"/>
  <c r="AV169" i="1"/>
  <c r="AR169" i="1"/>
  <c r="AN169" i="1"/>
  <c r="AJ169" i="1"/>
  <c r="AF169" i="1"/>
  <c r="AB169" i="1"/>
  <c r="T169" i="1"/>
  <c r="L169" i="1"/>
  <c r="H169" i="1"/>
  <c r="D169" i="1"/>
  <c r="AZ168" i="1"/>
  <c r="AV168" i="1"/>
  <c r="AR168" i="1"/>
  <c r="AN168" i="1"/>
  <c r="AJ168" i="1"/>
  <c r="AF168" i="1"/>
  <c r="AB168" i="1"/>
  <c r="T168" i="1"/>
  <c r="L168" i="1"/>
  <c r="H168" i="1"/>
  <c r="D168" i="1"/>
  <c r="AZ167" i="1"/>
  <c r="AV167" i="1"/>
  <c r="AR167" i="1"/>
  <c r="AN167" i="1"/>
  <c r="AJ167" i="1"/>
  <c r="AF167" i="1"/>
  <c r="AB167" i="1"/>
  <c r="T167" i="1"/>
  <c r="L167" i="1"/>
  <c r="H167" i="1"/>
  <c r="D167" i="1"/>
  <c r="AZ166" i="1"/>
  <c r="AV166" i="1"/>
  <c r="AR166" i="1"/>
  <c r="AN166" i="1"/>
  <c r="AJ166" i="1"/>
  <c r="AF166" i="1"/>
  <c r="AB166" i="1"/>
  <c r="T166" i="1"/>
  <c r="L166" i="1"/>
  <c r="H166" i="1"/>
  <c r="D166" i="1"/>
  <c r="AZ165" i="1"/>
  <c r="AV165" i="1"/>
  <c r="AR165" i="1"/>
  <c r="AN165" i="1"/>
  <c r="AJ165" i="1"/>
  <c r="AF165" i="1"/>
  <c r="AB165" i="1"/>
  <c r="T165" i="1"/>
  <c r="L165" i="1"/>
  <c r="H165" i="1"/>
  <c r="D165" i="1"/>
  <c r="AZ164" i="1"/>
  <c r="AV164" i="1"/>
  <c r="AR164" i="1"/>
  <c r="AN164" i="1"/>
  <c r="AJ164" i="1"/>
  <c r="AF164" i="1"/>
  <c r="AB164" i="1"/>
  <c r="T164" i="1"/>
  <c r="L164" i="1"/>
  <c r="H164" i="1"/>
  <c r="D164" i="1"/>
  <c r="AZ163" i="1"/>
  <c r="AV163" i="1"/>
  <c r="AR163" i="1"/>
  <c r="AN163" i="1"/>
  <c r="AJ163" i="1"/>
  <c r="AF163" i="1"/>
  <c r="AB163" i="1"/>
  <c r="T163" i="1"/>
  <c r="L163" i="1"/>
  <c r="H163" i="1"/>
  <c r="D163" i="1"/>
  <c r="AZ162" i="1"/>
  <c r="AV162" i="1"/>
  <c r="AR162" i="1"/>
  <c r="AN162" i="1"/>
  <c r="AJ162" i="1"/>
  <c r="AF162" i="1"/>
  <c r="AB162" i="1"/>
  <c r="T162" i="1"/>
  <c r="L162" i="1"/>
  <c r="H162" i="1"/>
  <c r="D162" i="1"/>
  <c r="AZ161" i="1"/>
  <c r="AV161" i="1"/>
  <c r="AR161" i="1"/>
  <c r="AN161" i="1"/>
  <c r="AJ161" i="1"/>
  <c r="AF161" i="1"/>
  <c r="AB161" i="1"/>
  <c r="T161" i="1"/>
  <c r="L161" i="1"/>
  <c r="H161" i="1"/>
  <c r="D161" i="1"/>
  <c r="AZ160" i="1"/>
  <c r="AV160" i="1"/>
  <c r="AR160" i="1"/>
  <c r="AN160" i="1"/>
  <c r="AJ160" i="1"/>
  <c r="AF160" i="1"/>
  <c r="AB160" i="1"/>
  <c r="T160" i="1"/>
  <c r="L160" i="1"/>
  <c r="H160" i="1"/>
  <c r="D160" i="1"/>
  <c r="AZ159" i="1"/>
  <c r="AV159" i="1"/>
  <c r="AR159" i="1"/>
  <c r="AN159" i="1"/>
  <c r="AJ159" i="1"/>
  <c r="AF159" i="1"/>
  <c r="AB159" i="1"/>
  <c r="T159" i="1"/>
  <c r="L159" i="1"/>
  <c r="H159" i="1"/>
  <c r="D159" i="1"/>
  <c r="AZ158" i="1"/>
  <c r="AV158" i="1"/>
  <c r="AR158" i="1"/>
  <c r="AN158" i="1"/>
  <c r="AJ158" i="1"/>
  <c r="AF158" i="1"/>
  <c r="AB158" i="1"/>
  <c r="T158" i="1"/>
  <c r="L158" i="1"/>
  <c r="H158" i="1"/>
  <c r="D158" i="1"/>
  <c r="AZ157" i="1"/>
  <c r="AV157" i="1"/>
  <c r="AR157" i="1"/>
  <c r="AN157" i="1"/>
  <c r="AJ157" i="1"/>
  <c r="AF157" i="1"/>
  <c r="AB157" i="1"/>
  <c r="T157" i="1"/>
  <c r="L157" i="1"/>
  <c r="H157" i="1"/>
  <c r="D157" i="1"/>
  <c r="AZ156" i="1"/>
  <c r="AV156" i="1"/>
  <c r="AR156" i="1"/>
  <c r="AN156" i="1"/>
  <c r="AJ156" i="1"/>
  <c r="AF156" i="1"/>
  <c r="AB156" i="1"/>
  <c r="T156" i="1"/>
  <c r="L156" i="1"/>
  <c r="H156" i="1"/>
  <c r="D156" i="1"/>
  <c r="AZ155" i="1"/>
  <c r="AV155" i="1"/>
  <c r="AR155" i="1"/>
  <c r="AN155" i="1"/>
  <c r="AJ155" i="1"/>
  <c r="AF155" i="1"/>
  <c r="AB155" i="1"/>
  <c r="T155" i="1"/>
  <c r="L155" i="1"/>
  <c r="H155" i="1"/>
  <c r="D155" i="1"/>
  <c r="AZ154" i="1"/>
  <c r="AV154" i="1"/>
  <c r="AR154" i="1"/>
  <c r="AN154" i="1"/>
  <c r="AJ154" i="1"/>
  <c r="AF154" i="1"/>
  <c r="AB154" i="1"/>
  <c r="T154" i="1"/>
  <c r="L154" i="1"/>
  <c r="H154" i="1"/>
  <c r="D154" i="1"/>
  <c r="AZ153" i="1"/>
  <c r="AV153" i="1"/>
  <c r="AR153" i="1"/>
  <c r="AN153" i="1"/>
  <c r="AJ153" i="1"/>
  <c r="AF153" i="1"/>
  <c r="AB153" i="1"/>
  <c r="T153" i="1"/>
  <c r="L153" i="1"/>
  <c r="H153" i="1"/>
  <c r="D153" i="1"/>
  <c r="AZ152" i="1"/>
  <c r="AV152" i="1"/>
  <c r="AR152" i="1"/>
  <c r="AN152" i="1"/>
  <c r="AJ152" i="1"/>
  <c r="AF152" i="1"/>
  <c r="AB152" i="1"/>
  <c r="T152" i="1"/>
  <c r="L152" i="1"/>
  <c r="H152" i="1"/>
  <c r="D152" i="1"/>
  <c r="AZ151" i="1"/>
  <c r="AV151" i="1"/>
  <c r="AR151" i="1"/>
  <c r="AN151" i="1"/>
  <c r="AJ151" i="1"/>
  <c r="AF151" i="1"/>
  <c r="AB151" i="1"/>
  <c r="T151" i="1"/>
  <c r="L151" i="1"/>
  <c r="H151" i="1"/>
  <c r="D151" i="1"/>
  <c r="AZ150" i="1"/>
  <c r="AV150" i="1"/>
  <c r="AR150" i="1"/>
  <c r="AN150" i="1"/>
  <c r="AJ150" i="1"/>
  <c r="AF150" i="1"/>
  <c r="AB150" i="1"/>
  <c r="T150" i="1"/>
  <c r="L150" i="1"/>
  <c r="H150" i="1"/>
  <c r="D150" i="1"/>
  <c r="AZ149" i="1"/>
  <c r="AV149" i="1"/>
  <c r="AR149" i="1"/>
  <c r="AN149" i="1"/>
  <c r="AJ149" i="1"/>
  <c r="AF149" i="1"/>
  <c r="AB149" i="1"/>
  <c r="T149" i="1"/>
  <c r="L149" i="1"/>
  <c r="H149" i="1"/>
  <c r="D149" i="1"/>
  <c r="AZ148" i="1"/>
  <c r="AV148" i="1"/>
  <c r="AR148" i="1"/>
  <c r="AN148" i="1"/>
  <c r="AJ148" i="1"/>
  <c r="AF148" i="1"/>
  <c r="AB148" i="1"/>
  <c r="T148" i="1"/>
  <c r="L148" i="1"/>
  <c r="H148" i="1"/>
  <c r="D148" i="1"/>
  <c r="AZ147" i="1"/>
  <c r="AV147" i="1"/>
  <c r="AR147" i="1"/>
  <c r="AN147" i="1"/>
  <c r="AJ147" i="1"/>
  <c r="AF147" i="1"/>
  <c r="AB147" i="1"/>
  <c r="T147" i="1"/>
  <c r="L147" i="1"/>
  <c r="H147" i="1"/>
  <c r="D147" i="1"/>
  <c r="AZ146" i="1"/>
  <c r="AV146" i="1"/>
  <c r="AR146" i="1"/>
  <c r="AN146" i="1"/>
  <c r="AJ146" i="1"/>
  <c r="AF146" i="1"/>
  <c r="AB146" i="1"/>
  <c r="T146" i="1"/>
  <c r="L146" i="1"/>
  <c r="H146" i="1"/>
  <c r="D146" i="1"/>
  <c r="AZ145" i="1"/>
  <c r="AV145" i="1"/>
  <c r="AR145" i="1"/>
  <c r="AN145" i="1"/>
  <c r="AJ145" i="1"/>
  <c r="AF145" i="1"/>
  <c r="AB145" i="1"/>
  <c r="T145" i="1"/>
  <c r="L145" i="1"/>
  <c r="H145" i="1"/>
  <c r="D145" i="1"/>
  <c r="AZ144" i="1"/>
  <c r="AV144" i="1"/>
  <c r="AR144" i="1"/>
  <c r="AN144" i="1"/>
  <c r="AJ144" i="1"/>
  <c r="AF144" i="1"/>
  <c r="AB144" i="1"/>
  <c r="T144" i="1"/>
  <c r="L144" i="1"/>
  <c r="H144" i="1"/>
  <c r="D144" i="1"/>
  <c r="AZ143" i="1"/>
  <c r="AV143" i="1"/>
  <c r="AR143" i="1"/>
  <c r="AN143" i="1"/>
  <c r="AJ143" i="1"/>
  <c r="AF143" i="1"/>
  <c r="AB143" i="1"/>
  <c r="T143" i="1"/>
  <c r="L143" i="1"/>
  <c r="H143" i="1"/>
  <c r="D143" i="1"/>
  <c r="AZ142" i="1"/>
  <c r="AV142" i="1"/>
  <c r="AR142" i="1"/>
  <c r="AN142" i="1"/>
  <c r="AJ142" i="1"/>
  <c r="AF142" i="1"/>
  <c r="AB142" i="1"/>
  <c r="T142" i="1"/>
  <c r="L142" i="1"/>
  <c r="H142" i="1"/>
  <c r="D142" i="1"/>
  <c r="AZ141" i="1"/>
  <c r="AV141" i="1"/>
  <c r="AR141" i="1"/>
  <c r="AN141" i="1"/>
  <c r="AJ141" i="1"/>
  <c r="AF141" i="1"/>
  <c r="AB141" i="1"/>
  <c r="T141" i="1"/>
  <c r="L141" i="1"/>
  <c r="H141" i="1"/>
  <c r="D141" i="1"/>
  <c r="AZ140" i="1"/>
  <c r="AV140" i="1"/>
  <c r="AR140" i="1"/>
  <c r="AN140" i="1"/>
  <c r="AJ140" i="1"/>
  <c r="AF140" i="1"/>
  <c r="AB140" i="1"/>
  <c r="T140" i="1"/>
  <c r="L140" i="1"/>
  <c r="H140" i="1"/>
  <c r="D140" i="1"/>
  <c r="AZ139" i="1"/>
  <c r="AV139" i="1"/>
  <c r="AR139" i="1"/>
  <c r="AN139" i="1"/>
  <c r="AJ139" i="1"/>
  <c r="AF139" i="1"/>
  <c r="AB139" i="1"/>
  <c r="T139" i="1"/>
  <c r="L139" i="1"/>
  <c r="H139" i="1"/>
  <c r="D139" i="1"/>
  <c r="AZ138" i="1"/>
  <c r="AV138" i="1"/>
  <c r="AR138" i="1"/>
  <c r="AN138" i="1"/>
  <c r="AJ138" i="1"/>
  <c r="AF138" i="1"/>
  <c r="AB138" i="1"/>
  <c r="T138" i="1"/>
  <c r="L138" i="1"/>
  <c r="H138" i="1"/>
  <c r="D138" i="1"/>
  <c r="AZ137" i="1"/>
  <c r="AV137" i="1"/>
  <c r="AR137" i="1"/>
  <c r="AN137" i="1"/>
  <c r="AJ137" i="1"/>
  <c r="AF137" i="1"/>
  <c r="AB137" i="1"/>
  <c r="T137" i="1"/>
  <c r="L137" i="1"/>
  <c r="H137" i="1"/>
  <c r="D137" i="1"/>
  <c r="AZ136" i="1"/>
  <c r="AV136" i="1"/>
  <c r="AR136" i="1"/>
  <c r="AN136" i="1"/>
  <c r="AJ136" i="1"/>
  <c r="AF136" i="1"/>
  <c r="AB136" i="1"/>
  <c r="T136" i="1"/>
  <c r="L136" i="1"/>
  <c r="H136" i="1"/>
  <c r="D136" i="1"/>
  <c r="AZ135" i="1"/>
  <c r="AV135" i="1"/>
  <c r="AR135" i="1"/>
  <c r="AN135" i="1"/>
  <c r="AJ135" i="1"/>
  <c r="AF135" i="1"/>
  <c r="AB135" i="1"/>
  <c r="T135" i="1"/>
  <c r="L135" i="1"/>
  <c r="H135" i="1"/>
  <c r="D135" i="1"/>
  <c r="AZ134" i="1"/>
  <c r="AV134" i="1"/>
  <c r="AR134" i="1"/>
  <c r="AN134" i="1"/>
  <c r="AJ134" i="1"/>
  <c r="AF134" i="1"/>
  <c r="AB134" i="1"/>
  <c r="T134" i="1"/>
  <c r="L134" i="1"/>
  <c r="H134" i="1"/>
  <c r="D134" i="1"/>
  <c r="AZ133" i="1"/>
  <c r="AV133" i="1"/>
  <c r="AR133" i="1"/>
  <c r="AN133" i="1"/>
  <c r="AJ133" i="1"/>
  <c r="AF133" i="1"/>
  <c r="AB133" i="1"/>
  <c r="T133" i="1"/>
  <c r="L133" i="1"/>
  <c r="H133" i="1"/>
  <c r="D133" i="1"/>
  <c r="AZ132" i="1"/>
  <c r="AV132" i="1"/>
  <c r="AR132" i="1"/>
  <c r="AN132" i="1"/>
  <c r="AJ132" i="1"/>
  <c r="AF132" i="1"/>
  <c r="AB132" i="1"/>
  <c r="T132" i="1"/>
  <c r="L132" i="1"/>
  <c r="H132" i="1"/>
  <c r="D132" i="1"/>
  <c r="AZ131" i="1"/>
  <c r="AV131" i="1"/>
  <c r="AR131" i="1"/>
  <c r="AN131" i="1"/>
  <c r="AJ131" i="1"/>
  <c r="AF131" i="1"/>
  <c r="AB131" i="1"/>
  <c r="T131" i="1"/>
  <c r="L131" i="1"/>
  <c r="H131" i="1"/>
  <c r="D131" i="1"/>
  <c r="AZ130" i="1"/>
  <c r="AV130" i="1"/>
  <c r="AR130" i="1"/>
  <c r="AN130" i="1"/>
  <c r="AJ130" i="1"/>
  <c r="AF130" i="1"/>
  <c r="AB130" i="1"/>
  <c r="T130" i="1"/>
  <c r="L130" i="1"/>
  <c r="H130" i="1"/>
  <c r="D130" i="1"/>
  <c r="AZ129" i="1"/>
  <c r="AV129" i="1"/>
  <c r="AR129" i="1"/>
  <c r="AN129" i="1"/>
  <c r="AJ129" i="1"/>
  <c r="AF129" i="1"/>
  <c r="AB129" i="1"/>
  <c r="T129" i="1"/>
  <c r="L129" i="1"/>
  <c r="H129" i="1"/>
  <c r="D129" i="1"/>
  <c r="AZ128" i="1"/>
  <c r="AV128" i="1"/>
  <c r="AR128" i="1"/>
  <c r="AN128" i="1"/>
  <c r="AJ128" i="1"/>
  <c r="AF128" i="1"/>
  <c r="AB128" i="1"/>
  <c r="T128" i="1"/>
  <c r="L128" i="1"/>
  <c r="H128" i="1"/>
  <c r="D128" i="1"/>
  <c r="AZ127" i="1"/>
  <c r="AV127" i="1"/>
  <c r="AR127" i="1"/>
  <c r="AN127" i="1"/>
  <c r="AJ127" i="1"/>
  <c r="AF127" i="1"/>
  <c r="AB127" i="1"/>
  <c r="T127" i="1"/>
  <c r="L127" i="1"/>
  <c r="H127" i="1"/>
  <c r="D127" i="1"/>
  <c r="AZ126" i="1"/>
  <c r="AV126" i="1"/>
  <c r="AR126" i="1"/>
  <c r="AN126" i="1"/>
  <c r="AJ126" i="1"/>
  <c r="AF126" i="1"/>
  <c r="AB126" i="1"/>
  <c r="T126" i="1"/>
  <c r="L126" i="1"/>
  <c r="H126" i="1"/>
  <c r="D126" i="1"/>
  <c r="AZ125" i="1"/>
  <c r="AV125" i="1"/>
  <c r="AR125" i="1"/>
  <c r="AN125" i="1"/>
  <c r="AJ125" i="1"/>
  <c r="AF125" i="1"/>
  <c r="AB125" i="1"/>
  <c r="T125" i="1"/>
  <c r="L125" i="1"/>
  <c r="H125" i="1"/>
  <c r="D125" i="1"/>
  <c r="AZ124" i="1"/>
  <c r="AV124" i="1"/>
  <c r="AR124" i="1"/>
  <c r="AN124" i="1"/>
  <c r="AJ124" i="1"/>
  <c r="AF124" i="1"/>
  <c r="AB124" i="1"/>
  <c r="T124" i="1"/>
  <c r="L124" i="1"/>
  <c r="H124" i="1"/>
  <c r="D124" i="1"/>
  <c r="AZ123" i="1"/>
  <c r="AV123" i="1"/>
  <c r="AR123" i="1"/>
  <c r="AN123" i="1"/>
  <c r="AJ123" i="1"/>
  <c r="AF123" i="1"/>
  <c r="AB123" i="1"/>
  <c r="T123" i="1"/>
  <c r="L123" i="1"/>
  <c r="H123" i="1"/>
  <c r="D123" i="1"/>
  <c r="AZ122" i="1"/>
  <c r="AV122" i="1"/>
  <c r="AR122" i="1"/>
  <c r="AN122" i="1"/>
  <c r="AJ122" i="1"/>
  <c r="AF122" i="1"/>
  <c r="AB122" i="1"/>
  <c r="T122" i="1"/>
  <c r="L122" i="1"/>
  <c r="H122" i="1"/>
  <c r="D122" i="1"/>
  <c r="AZ121" i="1"/>
  <c r="AV121" i="1"/>
  <c r="AR121" i="1"/>
  <c r="AN121" i="1"/>
  <c r="AJ121" i="1"/>
  <c r="AF121" i="1"/>
  <c r="AB121" i="1"/>
  <c r="T121" i="1"/>
  <c r="L121" i="1"/>
  <c r="H121" i="1"/>
  <c r="D121" i="1"/>
  <c r="AZ120" i="1"/>
  <c r="AV120" i="1"/>
  <c r="AR120" i="1"/>
  <c r="AN120" i="1"/>
  <c r="AJ120" i="1"/>
  <c r="AF120" i="1"/>
  <c r="AB120" i="1"/>
  <c r="T120" i="1"/>
  <c r="L120" i="1"/>
  <c r="H120" i="1"/>
  <c r="D120" i="1"/>
  <c r="AZ119" i="1"/>
  <c r="AV119" i="1"/>
  <c r="AR119" i="1"/>
  <c r="AN119" i="1"/>
  <c r="AJ119" i="1"/>
  <c r="AF119" i="1"/>
  <c r="AB119" i="1"/>
  <c r="T119" i="1"/>
  <c r="L119" i="1"/>
  <c r="H119" i="1"/>
  <c r="D119" i="1"/>
  <c r="AZ118" i="1"/>
  <c r="AV118" i="1"/>
  <c r="AR118" i="1"/>
  <c r="AN118" i="1"/>
  <c r="AJ118" i="1"/>
  <c r="AF118" i="1"/>
  <c r="AB118" i="1"/>
  <c r="T118" i="1"/>
  <c r="L118" i="1"/>
  <c r="H118" i="1"/>
  <c r="D118" i="1"/>
  <c r="AZ117" i="1"/>
  <c r="AV117" i="1"/>
  <c r="AR117" i="1"/>
  <c r="AN117" i="1"/>
  <c r="AJ117" i="1"/>
  <c r="AF117" i="1"/>
  <c r="AB117" i="1"/>
  <c r="T117" i="1"/>
  <c r="L117" i="1"/>
  <c r="H117" i="1"/>
  <c r="D117" i="1"/>
  <c r="AZ116" i="1"/>
  <c r="AV116" i="1"/>
  <c r="AR116" i="1"/>
  <c r="AN116" i="1"/>
  <c r="AJ116" i="1"/>
  <c r="AF116" i="1"/>
  <c r="AB116" i="1"/>
  <c r="T116" i="1"/>
  <c r="L116" i="1"/>
  <c r="H116" i="1"/>
  <c r="D116" i="1"/>
  <c r="AZ115" i="1"/>
  <c r="AV115" i="1"/>
  <c r="AR115" i="1"/>
  <c r="AN115" i="1"/>
  <c r="AJ115" i="1"/>
  <c r="AF115" i="1"/>
  <c r="AB115" i="1"/>
  <c r="T115" i="1"/>
  <c r="L115" i="1"/>
  <c r="H115" i="1"/>
  <c r="D115" i="1"/>
  <c r="AZ114" i="1"/>
  <c r="AV114" i="1"/>
  <c r="AR114" i="1"/>
  <c r="AN114" i="1"/>
  <c r="AJ114" i="1"/>
  <c r="AF114" i="1"/>
  <c r="AB114" i="1"/>
  <c r="T114" i="1"/>
  <c r="L114" i="1"/>
  <c r="H114" i="1"/>
  <c r="D114" i="1"/>
  <c r="AZ113" i="1"/>
  <c r="AV113" i="1"/>
  <c r="AR113" i="1"/>
  <c r="AN113" i="1"/>
  <c r="AJ113" i="1"/>
  <c r="AF113" i="1"/>
  <c r="AB113" i="1"/>
  <c r="T113" i="1"/>
  <c r="P113" i="1"/>
  <c r="L113" i="1"/>
  <c r="H113" i="1"/>
  <c r="D113" i="1"/>
  <c r="AZ112" i="1"/>
  <c r="AV112" i="1"/>
  <c r="AR112" i="1"/>
  <c r="AN112" i="1"/>
  <c r="AJ112" i="1"/>
  <c r="AF112" i="1"/>
  <c r="AB112" i="1"/>
  <c r="T112" i="1"/>
  <c r="P112" i="1"/>
  <c r="L112" i="1"/>
  <c r="H112" i="1"/>
  <c r="D112" i="1"/>
  <c r="AZ111" i="1"/>
  <c r="AV111" i="1"/>
  <c r="AR111" i="1"/>
  <c r="AN111" i="1"/>
  <c r="AJ111" i="1"/>
  <c r="AF111" i="1"/>
  <c r="AB111" i="1"/>
  <c r="T111" i="1"/>
  <c r="P111" i="1"/>
  <c r="L111" i="1"/>
  <c r="H111" i="1"/>
  <c r="D111" i="1"/>
  <c r="AZ110" i="1"/>
  <c r="AV110" i="1"/>
  <c r="AR110" i="1"/>
  <c r="AN110" i="1"/>
  <c r="AJ110" i="1"/>
  <c r="AF110" i="1"/>
  <c r="AB110" i="1"/>
  <c r="T110" i="1"/>
  <c r="P110" i="1"/>
  <c r="L110" i="1"/>
  <c r="H110" i="1"/>
  <c r="D110" i="1"/>
  <c r="AZ109" i="1"/>
  <c r="AV109" i="1"/>
  <c r="AR109" i="1"/>
  <c r="AN109" i="1"/>
  <c r="AJ109" i="1"/>
  <c r="AF109" i="1"/>
  <c r="AB109" i="1"/>
  <c r="T109" i="1"/>
  <c r="P109" i="1"/>
  <c r="L109" i="1"/>
  <c r="H109" i="1"/>
  <c r="D109" i="1"/>
  <c r="AZ108" i="1"/>
  <c r="AV108" i="1"/>
  <c r="AR108" i="1"/>
  <c r="AN108" i="1"/>
  <c r="AJ108" i="1"/>
  <c r="AF108" i="1"/>
  <c r="AB108" i="1"/>
  <c r="T108" i="1"/>
  <c r="P108" i="1"/>
  <c r="L108" i="1"/>
  <c r="H108" i="1"/>
  <c r="D108" i="1"/>
  <c r="AZ107" i="1"/>
  <c r="AV107" i="1"/>
  <c r="AR107" i="1"/>
  <c r="AN107" i="1"/>
  <c r="AJ107" i="1"/>
  <c r="AF107" i="1"/>
  <c r="AB107" i="1"/>
  <c r="T107" i="1"/>
  <c r="P107" i="1"/>
  <c r="L107" i="1"/>
  <c r="H107" i="1"/>
  <c r="D107" i="1"/>
  <c r="AZ106" i="1"/>
  <c r="AV106" i="1"/>
  <c r="AR106" i="1"/>
  <c r="AN106" i="1"/>
  <c r="AJ106" i="1"/>
  <c r="AF106" i="1"/>
  <c r="AB106" i="1"/>
  <c r="T106" i="1"/>
  <c r="P106" i="1"/>
  <c r="L106" i="1"/>
  <c r="H106" i="1"/>
  <c r="D106" i="1"/>
  <c r="AZ105" i="1"/>
  <c r="AV105" i="1"/>
  <c r="AR105" i="1"/>
  <c r="AN105" i="1"/>
  <c r="AJ105" i="1"/>
  <c r="AF105" i="1"/>
  <c r="AB105" i="1"/>
  <c r="T105" i="1"/>
  <c r="P105" i="1"/>
  <c r="L105" i="1"/>
  <c r="H105" i="1"/>
  <c r="D105" i="1"/>
  <c r="AZ104" i="1"/>
  <c r="AV104" i="1"/>
  <c r="AR104" i="1"/>
  <c r="AN104" i="1"/>
  <c r="AJ104" i="1"/>
  <c r="AF104" i="1"/>
  <c r="AB104" i="1"/>
  <c r="T104" i="1"/>
  <c r="P104" i="1"/>
  <c r="L104" i="1"/>
  <c r="H104" i="1"/>
  <c r="D104" i="1"/>
  <c r="AZ103" i="1"/>
  <c r="AV103" i="1"/>
  <c r="AR103" i="1"/>
  <c r="AN103" i="1"/>
  <c r="AJ103" i="1"/>
  <c r="AF103" i="1"/>
  <c r="AB103" i="1"/>
  <c r="T103" i="1"/>
  <c r="P103" i="1"/>
  <c r="L103" i="1"/>
  <c r="H103" i="1"/>
  <c r="D103" i="1"/>
  <c r="AZ102" i="1"/>
  <c r="AV102" i="1"/>
  <c r="AR102" i="1"/>
  <c r="AN102" i="1"/>
  <c r="AJ102" i="1"/>
  <c r="AF102" i="1"/>
  <c r="AB102" i="1"/>
  <c r="T102" i="1"/>
  <c r="P102" i="1"/>
  <c r="L102" i="1"/>
  <c r="H102" i="1"/>
  <c r="D102" i="1"/>
  <c r="AZ101" i="1"/>
  <c r="AV101" i="1"/>
  <c r="AR101" i="1"/>
  <c r="AN101" i="1"/>
  <c r="AJ101" i="1"/>
  <c r="AF101" i="1"/>
  <c r="AB101" i="1"/>
  <c r="T101" i="1"/>
  <c r="P101" i="1"/>
  <c r="L101" i="1"/>
  <c r="H101" i="1"/>
  <c r="D101" i="1"/>
  <c r="AZ100" i="1"/>
  <c r="AV100" i="1"/>
  <c r="AR100" i="1"/>
  <c r="AN100" i="1"/>
  <c r="AJ100" i="1"/>
  <c r="AF100" i="1"/>
  <c r="AB100" i="1"/>
  <c r="T100" i="1"/>
  <c r="P100" i="1"/>
  <c r="L100" i="1"/>
  <c r="H100" i="1"/>
  <c r="D100" i="1"/>
  <c r="AZ99" i="1"/>
  <c r="AV99" i="1"/>
  <c r="AR99" i="1"/>
  <c r="AN99" i="1"/>
  <c r="AJ99" i="1"/>
  <c r="AF99" i="1"/>
  <c r="AB99" i="1"/>
  <c r="T99" i="1"/>
  <c r="P99" i="1"/>
  <c r="L99" i="1"/>
  <c r="H99" i="1"/>
  <c r="D99" i="1"/>
  <c r="AZ98" i="1"/>
  <c r="AV98" i="1"/>
  <c r="AR98" i="1"/>
  <c r="AN98" i="1"/>
  <c r="AJ98" i="1"/>
  <c r="AF98" i="1"/>
  <c r="AB98" i="1"/>
  <c r="T98" i="1"/>
  <c r="P98" i="1"/>
  <c r="L98" i="1"/>
  <c r="H98" i="1"/>
  <c r="D98" i="1"/>
  <c r="AZ97" i="1"/>
  <c r="AV97" i="1"/>
  <c r="AR97" i="1"/>
  <c r="AN97" i="1"/>
  <c r="AJ97" i="1"/>
  <c r="AF97" i="1"/>
  <c r="AB97" i="1"/>
  <c r="T97" i="1"/>
  <c r="P97" i="1"/>
  <c r="L97" i="1"/>
  <c r="H97" i="1"/>
  <c r="D97" i="1"/>
  <c r="AZ96" i="1"/>
  <c r="AV96" i="1"/>
  <c r="AR96" i="1"/>
  <c r="AN96" i="1"/>
  <c r="AJ96" i="1"/>
  <c r="AF96" i="1"/>
  <c r="AB96" i="1"/>
  <c r="T96" i="1"/>
  <c r="P96" i="1"/>
  <c r="L96" i="1"/>
  <c r="H96" i="1"/>
  <c r="D96" i="1"/>
  <c r="AZ95" i="1"/>
  <c r="AV95" i="1"/>
  <c r="AR95" i="1"/>
  <c r="AN95" i="1"/>
  <c r="AJ95" i="1"/>
  <c r="AF95" i="1"/>
  <c r="AB95" i="1"/>
  <c r="T95" i="1"/>
  <c r="P95" i="1"/>
  <c r="L95" i="1"/>
  <c r="H95" i="1"/>
  <c r="D95" i="1"/>
  <c r="AZ94" i="1"/>
  <c r="AV94" i="1"/>
  <c r="AR94" i="1"/>
  <c r="AN94" i="1"/>
  <c r="AJ94" i="1"/>
  <c r="AF94" i="1"/>
  <c r="AB94" i="1"/>
  <c r="T94" i="1"/>
  <c r="P94" i="1"/>
  <c r="L94" i="1"/>
  <c r="H94" i="1"/>
  <c r="D94" i="1"/>
  <c r="AZ93" i="1"/>
  <c r="AV93" i="1"/>
  <c r="AR93" i="1"/>
  <c r="AN93" i="1"/>
  <c r="AJ93" i="1"/>
  <c r="AF93" i="1"/>
  <c r="AB93" i="1"/>
  <c r="T93" i="1"/>
  <c r="P93" i="1"/>
  <c r="L93" i="1"/>
  <c r="H93" i="1"/>
  <c r="D93" i="1"/>
  <c r="AZ92" i="1"/>
  <c r="AV92" i="1"/>
  <c r="AR92" i="1"/>
  <c r="AN92" i="1"/>
  <c r="AJ92" i="1"/>
  <c r="AF92" i="1"/>
  <c r="AB92" i="1"/>
  <c r="T92" i="1"/>
  <c r="P92" i="1"/>
  <c r="L92" i="1"/>
  <c r="H92" i="1"/>
  <c r="D92" i="1"/>
  <c r="AZ91" i="1"/>
  <c r="AV91" i="1"/>
  <c r="AR91" i="1"/>
  <c r="AN91" i="1"/>
  <c r="AJ91" i="1"/>
  <c r="AF91" i="1"/>
  <c r="AB91" i="1"/>
  <c r="T91" i="1"/>
  <c r="P91" i="1"/>
  <c r="L91" i="1"/>
  <c r="H91" i="1"/>
  <c r="D91" i="1"/>
  <c r="AZ90" i="1"/>
  <c r="AV90" i="1"/>
  <c r="AR90" i="1"/>
  <c r="AN90" i="1"/>
  <c r="AJ90" i="1"/>
  <c r="AF90" i="1"/>
  <c r="AB90" i="1"/>
  <c r="T90" i="1"/>
  <c r="P90" i="1"/>
  <c r="L90" i="1"/>
  <c r="H90" i="1"/>
  <c r="D90" i="1"/>
  <c r="AZ89" i="1"/>
  <c r="AV89" i="1"/>
  <c r="AR89" i="1"/>
  <c r="AN89" i="1"/>
  <c r="AJ89" i="1"/>
  <c r="AF89" i="1"/>
  <c r="AB89" i="1"/>
  <c r="T89" i="1"/>
  <c r="P89" i="1"/>
  <c r="L89" i="1"/>
  <c r="H89" i="1"/>
  <c r="D89" i="1"/>
  <c r="AZ88" i="1"/>
  <c r="AV88" i="1"/>
  <c r="AR88" i="1"/>
  <c r="AN88" i="1"/>
  <c r="AJ88" i="1"/>
  <c r="AF88" i="1"/>
  <c r="AB88" i="1"/>
  <c r="T88" i="1"/>
  <c r="P88" i="1"/>
  <c r="L88" i="1"/>
  <c r="H88" i="1"/>
  <c r="D88" i="1"/>
  <c r="AZ87" i="1"/>
  <c r="AV87" i="1"/>
  <c r="AR87" i="1"/>
  <c r="AN87" i="1"/>
  <c r="AJ87" i="1"/>
  <c r="AF87" i="1"/>
  <c r="AB87" i="1"/>
  <c r="T87" i="1"/>
  <c r="P87" i="1"/>
  <c r="L87" i="1"/>
  <c r="H87" i="1"/>
  <c r="D87" i="1"/>
  <c r="AZ86" i="1"/>
  <c r="AV86" i="1"/>
  <c r="AR86" i="1"/>
  <c r="AN86" i="1"/>
  <c r="AJ86" i="1"/>
  <c r="AF86" i="1"/>
  <c r="AB86" i="1"/>
  <c r="T86" i="1"/>
  <c r="P86" i="1"/>
  <c r="L86" i="1"/>
  <c r="H86" i="1"/>
  <c r="D86" i="1"/>
  <c r="AZ85" i="1"/>
  <c r="AV85" i="1"/>
  <c r="AR85" i="1"/>
  <c r="AN85" i="1"/>
  <c r="AJ85" i="1"/>
  <c r="AF85" i="1"/>
  <c r="AB85" i="1"/>
  <c r="T85" i="1"/>
  <c r="P85" i="1"/>
  <c r="L85" i="1"/>
  <c r="H85" i="1"/>
  <c r="D85" i="1"/>
  <c r="AZ84" i="1"/>
  <c r="AV84" i="1"/>
  <c r="AR84" i="1"/>
  <c r="AN84" i="1"/>
  <c r="AJ84" i="1"/>
  <c r="AF84" i="1"/>
  <c r="AB84" i="1"/>
  <c r="T84" i="1"/>
  <c r="P84" i="1"/>
  <c r="L84" i="1"/>
  <c r="H84" i="1"/>
  <c r="D84" i="1"/>
  <c r="AZ83" i="1"/>
  <c r="AV83" i="1"/>
  <c r="AR83" i="1"/>
  <c r="AN83" i="1"/>
  <c r="AJ83" i="1"/>
  <c r="AF83" i="1"/>
  <c r="AB83" i="1"/>
  <c r="T83" i="1"/>
  <c r="P83" i="1"/>
  <c r="L83" i="1"/>
  <c r="H83" i="1"/>
  <c r="D83" i="1"/>
  <c r="AZ82" i="1"/>
  <c r="AV82" i="1"/>
  <c r="AR82" i="1"/>
  <c r="AN82" i="1"/>
  <c r="AJ82" i="1"/>
  <c r="AF82" i="1"/>
  <c r="AB82" i="1"/>
  <c r="T82" i="1"/>
  <c r="P82" i="1"/>
  <c r="L82" i="1"/>
  <c r="H82" i="1"/>
  <c r="D82" i="1"/>
  <c r="AZ81" i="1"/>
  <c r="AV81" i="1"/>
  <c r="AR81" i="1"/>
  <c r="AN81" i="1"/>
  <c r="AJ81" i="1"/>
  <c r="AF81" i="1"/>
  <c r="AB81" i="1"/>
  <c r="T81" i="1"/>
  <c r="P81" i="1"/>
  <c r="L81" i="1"/>
  <c r="H81" i="1"/>
  <c r="D81" i="1"/>
  <c r="AZ80" i="1"/>
  <c r="AV80" i="1"/>
  <c r="AR80" i="1"/>
  <c r="AN80" i="1"/>
  <c r="AJ80" i="1"/>
  <c r="AF80" i="1"/>
  <c r="AB80" i="1"/>
  <c r="T80" i="1"/>
  <c r="P80" i="1"/>
  <c r="L80" i="1"/>
  <c r="H80" i="1"/>
  <c r="D80" i="1"/>
  <c r="AZ79" i="1"/>
  <c r="AV79" i="1"/>
  <c r="AR79" i="1"/>
  <c r="AN79" i="1"/>
  <c r="AJ79" i="1"/>
  <c r="AF79" i="1"/>
  <c r="AB79" i="1"/>
  <c r="T79" i="1"/>
  <c r="P79" i="1"/>
  <c r="L79" i="1"/>
  <c r="H79" i="1"/>
  <c r="D79" i="1"/>
  <c r="AZ78" i="1"/>
  <c r="AV78" i="1"/>
  <c r="AR78" i="1"/>
  <c r="AN78" i="1"/>
  <c r="AJ78" i="1"/>
  <c r="AF78" i="1"/>
  <c r="AB78" i="1"/>
  <c r="T78" i="1"/>
  <c r="P78" i="1"/>
  <c r="L78" i="1"/>
  <c r="H78" i="1"/>
  <c r="D78" i="1"/>
  <c r="AZ77" i="1"/>
  <c r="AV77" i="1"/>
  <c r="AR77" i="1"/>
  <c r="AN77" i="1"/>
  <c r="AJ77" i="1"/>
  <c r="AF77" i="1"/>
  <c r="AB77" i="1"/>
  <c r="T77" i="1"/>
  <c r="P77" i="1"/>
  <c r="L77" i="1"/>
  <c r="H77" i="1"/>
  <c r="D77" i="1"/>
  <c r="AZ76" i="1"/>
  <c r="AV76" i="1"/>
  <c r="AR76" i="1"/>
  <c r="AN76" i="1"/>
  <c r="AJ76" i="1"/>
  <c r="AF76" i="1"/>
  <c r="AB76" i="1"/>
  <c r="T76" i="1"/>
  <c r="P76" i="1"/>
  <c r="L76" i="1"/>
  <c r="H76" i="1"/>
  <c r="D76" i="1"/>
  <c r="AZ75" i="1"/>
  <c r="AV75" i="1"/>
  <c r="AR75" i="1"/>
  <c r="AN75" i="1"/>
  <c r="AJ75" i="1"/>
  <c r="AF75" i="1"/>
  <c r="AB75" i="1"/>
  <c r="T75" i="1"/>
  <c r="P75" i="1"/>
  <c r="L75" i="1"/>
  <c r="H75" i="1"/>
  <c r="D75" i="1"/>
  <c r="AZ74" i="1"/>
  <c r="AV74" i="1"/>
  <c r="AR74" i="1"/>
  <c r="AN74" i="1"/>
  <c r="AJ74" i="1"/>
  <c r="AF74" i="1"/>
  <c r="AB74" i="1"/>
  <c r="T74" i="1"/>
  <c r="P74" i="1"/>
  <c r="L74" i="1"/>
  <c r="H74" i="1"/>
  <c r="D74" i="1"/>
  <c r="AZ73" i="1"/>
  <c r="AV73" i="1"/>
  <c r="AR73" i="1"/>
  <c r="AN73" i="1"/>
  <c r="AJ73" i="1"/>
  <c r="AF73" i="1"/>
  <c r="AB73" i="1"/>
  <c r="T73" i="1"/>
  <c r="P73" i="1"/>
  <c r="L73" i="1"/>
  <c r="H73" i="1"/>
  <c r="D73" i="1"/>
  <c r="AZ72" i="1"/>
  <c r="AV72" i="1"/>
  <c r="AR72" i="1"/>
  <c r="AN72" i="1"/>
  <c r="AJ72" i="1"/>
  <c r="AF72" i="1"/>
  <c r="AB72" i="1"/>
  <c r="T72" i="1"/>
  <c r="P72" i="1"/>
  <c r="L72" i="1"/>
  <c r="H72" i="1"/>
  <c r="D72" i="1"/>
  <c r="AZ71" i="1"/>
  <c r="AV71" i="1"/>
  <c r="AR71" i="1"/>
  <c r="AN71" i="1"/>
  <c r="AJ71" i="1"/>
  <c r="AF71" i="1"/>
  <c r="AB71" i="1"/>
  <c r="T71" i="1"/>
  <c r="P71" i="1"/>
  <c r="L71" i="1"/>
  <c r="H71" i="1"/>
  <c r="D71" i="1"/>
  <c r="AZ70" i="1"/>
  <c r="AV70" i="1"/>
  <c r="AR70" i="1"/>
  <c r="AN70" i="1"/>
  <c r="AJ70" i="1"/>
  <c r="AF70" i="1"/>
  <c r="AB70" i="1"/>
  <c r="T70" i="1"/>
  <c r="P70" i="1"/>
  <c r="L70" i="1"/>
  <c r="H70" i="1"/>
  <c r="D70" i="1"/>
  <c r="AZ69" i="1"/>
  <c r="AV69" i="1"/>
  <c r="AR69" i="1"/>
  <c r="AN69" i="1"/>
  <c r="AJ69" i="1"/>
  <c r="AF69" i="1"/>
  <c r="AB69" i="1"/>
  <c r="T69" i="1"/>
  <c r="P69" i="1"/>
  <c r="L69" i="1"/>
  <c r="H69" i="1"/>
  <c r="D69" i="1"/>
  <c r="AZ68" i="1"/>
  <c r="AV68" i="1"/>
  <c r="AR68" i="1"/>
  <c r="AN68" i="1"/>
  <c r="AJ68" i="1"/>
  <c r="AF68" i="1"/>
  <c r="AB68" i="1"/>
  <c r="T68" i="1"/>
  <c r="P68" i="1"/>
  <c r="L68" i="1"/>
  <c r="H68" i="1"/>
  <c r="D68" i="1"/>
  <c r="AZ67" i="1"/>
  <c r="AV67" i="1"/>
  <c r="AR67" i="1"/>
  <c r="AN67" i="1"/>
  <c r="AJ67" i="1"/>
  <c r="AF67" i="1"/>
  <c r="AB67" i="1"/>
  <c r="T67" i="1"/>
  <c r="P67" i="1"/>
  <c r="L67" i="1"/>
  <c r="H67" i="1"/>
  <c r="D67" i="1"/>
  <c r="AZ66" i="1"/>
  <c r="AV66" i="1"/>
  <c r="AR66" i="1"/>
  <c r="AN66" i="1"/>
  <c r="AJ66" i="1"/>
  <c r="AF66" i="1"/>
  <c r="AB66" i="1"/>
  <c r="T66" i="1"/>
  <c r="P66" i="1"/>
  <c r="L66" i="1"/>
  <c r="H66" i="1"/>
  <c r="D66" i="1"/>
  <c r="AZ65" i="1"/>
  <c r="AV65" i="1"/>
  <c r="AR65" i="1"/>
  <c r="AN65" i="1"/>
  <c r="AJ65" i="1"/>
  <c r="AF65" i="1"/>
  <c r="AB65" i="1"/>
  <c r="T65" i="1"/>
  <c r="P65" i="1"/>
  <c r="L65" i="1"/>
  <c r="H65" i="1"/>
  <c r="D65" i="1"/>
  <c r="AZ64" i="1"/>
  <c r="AV64" i="1"/>
  <c r="AR64" i="1"/>
  <c r="AN64" i="1"/>
  <c r="AJ64" i="1"/>
  <c r="AF64" i="1"/>
  <c r="AB64" i="1"/>
  <c r="T64" i="1"/>
  <c r="P64" i="1"/>
  <c r="L64" i="1"/>
  <c r="H64" i="1"/>
  <c r="D64" i="1"/>
  <c r="AZ63" i="1"/>
  <c r="AV63" i="1"/>
  <c r="AR63" i="1"/>
  <c r="AN63" i="1"/>
  <c r="AJ63" i="1"/>
  <c r="AF63" i="1"/>
  <c r="AB63" i="1"/>
  <c r="T63" i="1"/>
  <c r="P63" i="1"/>
  <c r="L63" i="1"/>
  <c r="H63" i="1"/>
  <c r="D63" i="1"/>
  <c r="AZ62" i="1"/>
  <c r="AV62" i="1"/>
  <c r="AR62" i="1"/>
  <c r="AN62" i="1"/>
  <c r="AJ62" i="1"/>
  <c r="AF62" i="1"/>
  <c r="AB62" i="1"/>
  <c r="T62" i="1"/>
  <c r="P62" i="1"/>
  <c r="L62" i="1"/>
  <c r="H62" i="1"/>
  <c r="D62" i="1"/>
  <c r="AZ61" i="1"/>
  <c r="AV61" i="1"/>
  <c r="AR61" i="1"/>
  <c r="AN61" i="1"/>
  <c r="AJ61" i="1"/>
  <c r="AF61" i="1"/>
  <c r="AB61" i="1"/>
  <c r="T61" i="1"/>
  <c r="P61" i="1"/>
  <c r="L61" i="1"/>
  <c r="H61" i="1"/>
  <c r="D61" i="1"/>
  <c r="AZ60" i="1"/>
  <c r="AV60" i="1"/>
  <c r="AR60" i="1"/>
  <c r="AN60" i="1"/>
  <c r="AJ60" i="1"/>
  <c r="AF60" i="1"/>
  <c r="AB60" i="1"/>
  <c r="T60" i="1"/>
  <c r="P60" i="1"/>
  <c r="L60" i="1"/>
  <c r="H60" i="1"/>
  <c r="D60" i="1"/>
  <c r="AZ59" i="1"/>
  <c r="AV59" i="1"/>
  <c r="AR59" i="1"/>
  <c r="AN59" i="1"/>
  <c r="AJ59" i="1"/>
  <c r="AF59" i="1"/>
  <c r="AB59" i="1"/>
  <c r="T59" i="1"/>
  <c r="P59" i="1"/>
  <c r="L59" i="1"/>
  <c r="H59" i="1"/>
  <c r="D59" i="1"/>
  <c r="AZ58" i="1"/>
  <c r="AV58" i="1"/>
  <c r="AR58" i="1"/>
  <c r="AN58" i="1"/>
  <c r="AJ58" i="1"/>
  <c r="AF58" i="1"/>
  <c r="AB58" i="1"/>
  <c r="T58" i="1"/>
  <c r="P58" i="1"/>
  <c r="L58" i="1"/>
  <c r="H58" i="1"/>
  <c r="D58" i="1"/>
  <c r="AZ57" i="1"/>
  <c r="AV57" i="1"/>
  <c r="AR57" i="1"/>
  <c r="AN57" i="1"/>
  <c r="AJ57" i="1"/>
  <c r="AF57" i="1"/>
  <c r="AB57" i="1"/>
  <c r="T57" i="1"/>
  <c r="P57" i="1"/>
  <c r="L57" i="1"/>
  <c r="H57" i="1"/>
  <c r="D57" i="1"/>
  <c r="AZ56" i="1"/>
  <c r="AV56" i="1"/>
  <c r="AR56" i="1"/>
  <c r="AN56" i="1"/>
  <c r="AJ56" i="1"/>
  <c r="AF56" i="1"/>
  <c r="AB56" i="1"/>
  <c r="T56" i="1"/>
  <c r="P56" i="1"/>
  <c r="L56" i="1"/>
  <c r="H56" i="1"/>
  <c r="D56" i="1"/>
  <c r="AZ55" i="1"/>
  <c r="AV55" i="1"/>
  <c r="AR55" i="1"/>
  <c r="AN55" i="1"/>
  <c r="AJ55" i="1"/>
  <c r="AF55" i="1"/>
  <c r="AB55" i="1"/>
  <c r="T55" i="1"/>
  <c r="P55" i="1"/>
  <c r="L55" i="1"/>
  <c r="H55" i="1"/>
  <c r="D55" i="1"/>
  <c r="AZ54" i="1"/>
  <c r="AV54" i="1"/>
  <c r="AR54" i="1"/>
  <c r="AN54" i="1"/>
  <c r="AJ54" i="1"/>
  <c r="AF54" i="1"/>
  <c r="AB54" i="1"/>
  <c r="T54" i="1"/>
  <c r="P54" i="1"/>
  <c r="L54" i="1"/>
  <c r="H54" i="1"/>
  <c r="D54" i="1"/>
  <c r="AZ53" i="1"/>
  <c r="AV53" i="1"/>
  <c r="AR53" i="1"/>
  <c r="AN53" i="1"/>
  <c r="AJ53" i="1"/>
  <c r="AF53" i="1"/>
  <c r="AB53" i="1"/>
  <c r="T53" i="1"/>
  <c r="P53" i="1"/>
  <c r="L53" i="1"/>
  <c r="H53" i="1"/>
  <c r="D53" i="1"/>
  <c r="AZ52" i="1"/>
  <c r="AV52" i="1"/>
  <c r="AR52" i="1"/>
  <c r="AN52" i="1"/>
  <c r="AJ52" i="1"/>
  <c r="AF52" i="1"/>
  <c r="AB52" i="1"/>
  <c r="T52" i="1"/>
  <c r="P52" i="1"/>
  <c r="L52" i="1"/>
  <c r="H52" i="1"/>
  <c r="D52" i="1"/>
  <c r="AZ51" i="1"/>
  <c r="AV51" i="1"/>
  <c r="AR51" i="1"/>
  <c r="AN51" i="1"/>
  <c r="AJ51" i="1"/>
  <c r="AF51" i="1"/>
  <c r="AB51" i="1"/>
  <c r="T51" i="1"/>
  <c r="P51" i="1"/>
  <c r="L51" i="1"/>
  <c r="H51" i="1"/>
  <c r="D51" i="1"/>
  <c r="AZ50" i="1"/>
  <c r="AV50" i="1"/>
  <c r="AR50" i="1"/>
  <c r="AN50" i="1"/>
  <c r="AJ50" i="1"/>
  <c r="AF50" i="1"/>
  <c r="AB50" i="1"/>
  <c r="T50" i="1"/>
  <c r="P50" i="1"/>
  <c r="L50" i="1"/>
  <c r="H50" i="1"/>
  <c r="D50" i="1"/>
  <c r="AZ49" i="1"/>
  <c r="AV49" i="1"/>
  <c r="AR49" i="1"/>
  <c r="AN49" i="1"/>
  <c r="AJ49" i="1"/>
  <c r="AF49" i="1"/>
  <c r="AB49" i="1"/>
  <c r="T49" i="1"/>
  <c r="P49" i="1"/>
  <c r="L49" i="1"/>
  <c r="H49" i="1"/>
  <c r="D49" i="1"/>
  <c r="AZ48" i="1"/>
  <c r="AV48" i="1"/>
  <c r="AR48" i="1"/>
  <c r="AN48" i="1"/>
  <c r="AJ48" i="1"/>
  <c r="AF48" i="1"/>
  <c r="AB48" i="1"/>
  <c r="T48" i="1"/>
  <c r="P48" i="1"/>
  <c r="L48" i="1"/>
  <c r="H48" i="1"/>
  <c r="D48" i="1"/>
  <c r="AZ47" i="1"/>
  <c r="AV47" i="1"/>
  <c r="AR47" i="1"/>
  <c r="AN47" i="1"/>
  <c r="AJ47" i="1"/>
  <c r="AF47" i="1"/>
  <c r="AB47" i="1"/>
  <c r="T47" i="1"/>
  <c r="P47" i="1"/>
  <c r="L47" i="1"/>
  <c r="H47" i="1"/>
  <c r="D47" i="1"/>
  <c r="AZ46" i="1"/>
  <c r="AV46" i="1"/>
  <c r="AR46" i="1"/>
  <c r="AN46" i="1"/>
  <c r="AJ46" i="1"/>
  <c r="AF46" i="1"/>
  <c r="AB46" i="1"/>
  <c r="T46" i="1"/>
  <c r="P46" i="1"/>
  <c r="L46" i="1"/>
  <c r="H46" i="1"/>
  <c r="D46" i="1"/>
  <c r="AZ45" i="1"/>
  <c r="AV45" i="1"/>
  <c r="AR45" i="1"/>
  <c r="AN45" i="1"/>
  <c r="AJ45" i="1"/>
  <c r="AF45" i="1"/>
  <c r="AB45" i="1"/>
  <c r="T45" i="1"/>
  <c r="P45" i="1"/>
  <c r="L45" i="1"/>
  <c r="H45" i="1"/>
  <c r="D45" i="1"/>
  <c r="AZ44" i="1"/>
  <c r="AV44" i="1"/>
  <c r="AR44" i="1"/>
  <c r="AN44" i="1"/>
  <c r="AJ44" i="1"/>
  <c r="AF44" i="1"/>
  <c r="AB44" i="1"/>
  <c r="T44" i="1"/>
  <c r="P44" i="1"/>
  <c r="L44" i="1"/>
  <c r="H44" i="1"/>
  <c r="D44" i="1"/>
  <c r="AZ43" i="1"/>
  <c r="AV43" i="1"/>
  <c r="AR43" i="1"/>
  <c r="AN43" i="1"/>
  <c r="AJ43" i="1"/>
  <c r="AF43" i="1"/>
  <c r="AB43" i="1"/>
  <c r="T43" i="1"/>
  <c r="P43" i="1"/>
  <c r="L43" i="1"/>
  <c r="H43" i="1"/>
  <c r="D43" i="1"/>
  <c r="AZ42" i="1"/>
  <c r="AV42" i="1"/>
  <c r="AR42" i="1"/>
  <c r="AN42" i="1"/>
  <c r="AJ42" i="1"/>
  <c r="AF42" i="1"/>
  <c r="AB42" i="1"/>
  <c r="T42" i="1"/>
  <c r="P42" i="1"/>
  <c r="L42" i="1"/>
  <c r="H42" i="1"/>
  <c r="D42" i="1"/>
  <c r="AZ41" i="1"/>
  <c r="AV41" i="1"/>
  <c r="AR41" i="1"/>
  <c r="AN41" i="1"/>
  <c r="AJ41" i="1"/>
  <c r="AF41" i="1"/>
  <c r="AB41" i="1"/>
  <c r="T41" i="1"/>
  <c r="P41" i="1"/>
  <c r="L41" i="1"/>
  <c r="H41" i="1"/>
  <c r="D41" i="1"/>
  <c r="AZ40" i="1"/>
  <c r="AV40" i="1"/>
  <c r="AR40" i="1"/>
  <c r="AN40" i="1"/>
  <c r="AJ40" i="1"/>
  <c r="AF40" i="1"/>
  <c r="AB40" i="1"/>
  <c r="T40" i="1"/>
  <c r="P40" i="1"/>
  <c r="L40" i="1"/>
  <c r="H40" i="1"/>
  <c r="D40" i="1"/>
  <c r="AZ39" i="1"/>
  <c r="AV39" i="1"/>
  <c r="AR39" i="1"/>
  <c r="AN39" i="1"/>
  <c r="AJ39" i="1"/>
  <c r="AF39" i="1"/>
  <c r="AB39" i="1"/>
  <c r="T39" i="1"/>
  <c r="P39" i="1"/>
  <c r="L39" i="1"/>
  <c r="H39" i="1"/>
  <c r="D39" i="1"/>
  <c r="AZ38" i="1"/>
  <c r="AV38" i="1"/>
  <c r="AR38" i="1"/>
  <c r="AN38" i="1"/>
  <c r="AJ38" i="1"/>
  <c r="AF38" i="1"/>
  <c r="AB38" i="1"/>
  <c r="T38" i="1"/>
  <c r="P38" i="1"/>
  <c r="L38" i="1"/>
  <c r="H38" i="1"/>
  <c r="D38" i="1"/>
  <c r="AZ37" i="1"/>
  <c r="AV37" i="1"/>
  <c r="AR37" i="1"/>
  <c r="AN37" i="1"/>
  <c r="AJ37" i="1"/>
  <c r="AF37" i="1"/>
  <c r="AB37" i="1"/>
  <c r="T37" i="1"/>
  <c r="P37" i="1"/>
  <c r="L37" i="1"/>
  <c r="H37" i="1"/>
  <c r="D37" i="1"/>
  <c r="AZ36" i="1"/>
  <c r="AV36" i="1"/>
  <c r="AR36" i="1"/>
  <c r="AN36" i="1"/>
  <c r="AJ36" i="1"/>
  <c r="AF36" i="1"/>
  <c r="AB36" i="1"/>
  <c r="T36" i="1"/>
  <c r="P36" i="1"/>
  <c r="L36" i="1"/>
  <c r="H36" i="1"/>
  <c r="D36" i="1"/>
  <c r="AZ35" i="1"/>
  <c r="AV35" i="1"/>
  <c r="AR35" i="1"/>
  <c r="AN35" i="1"/>
  <c r="AJ35" i="1"/>
  <c r="AF35" i="1"/>
  <c r="AB35" i="1"/>
  <c r="T35" i="1"/>
  <c r="P35" i="1"/>
  <c r="L35" i="1"/>
  <c r="H35" i="1"/>
  <c r="D35" i="1"/>
  <c r="AZ34" i="1"/>
  <c r="AV34" i="1"/>
  <c r="AR34" i="1"/>
  <c r="AN34" i="1"/>
  <c r="AJ34" i="1"/>
  <c r="AF34" i="1"/>
  <c r="AB34" i="1"/>
  <c r="T34" i="1"/>
  <c r="P34" i="1"/>
  <c r="L34" i="1"/>
  <c r="H34" i="1"/>
  <c r="D34" i="1"/>
  <c r="AZ33" i="1"/>
  <c r="AV33" i="1"/>
  <c r="AR33" i="1"/>
  <c r="AN33" i="1"/>
  <c r="AJ33" i="1"/>
  <c r="AF33" i="1"/>
  <c r="AB33" i="1"/>
  <c r="T33" i="1"/>
  <c r="P33" i="1"/>
  <c r="L33" i="1"/>
  <c r="H33" i="1"/>
  <c r="D33" i="1"/>
  <c r="AZ32" i="1"/>
  <c r="AV32" i="1"/>
  <c r="AR32" i="1"/>
  <c r="AN32" i="1"/>
  <c r="AJ32" i="1"/>
  <c r="AF32" i="1"/>
  <c r="AB32" i="1"/>
  <c r="T32" i="1"/>
  <c r="P32" i="1"/>
  <c r="L32" i="1"/>
  <c r="H32" i="1"/>
  <c r="D32" i="1"/>
  <c r="AZ31" i="1"/>
  <c r="AV31" i="1"/>
  <c r="AR31" i="1"/>
  <c r="AN31" i="1"/>
  <c r="AJ31" i="1"/>
  <c r="AF31" i="1"/>
  <c r="AB31" i="1"/>
  <c r="T31" i="1"/>
  <c r="P31" i="1"/>
  <c r="L31" i="1"/>
  <c r="H31" i="1"/>
  <c r="D31" i="1"/>
  <c r="AZ30" i="1"/>
  <c r="AV30" i="1"/>
  <c r="AR30" i="1"/>
  <c r="AN30" i="1"/>
  <c r="AJ30" i="1"/>
  <c r="AF30" i="1"/>
  <c r="AB30" i="1"/>
  <c r="T30" i="1"/>
  <c r="P30" i="1"/>
  <c r="L30" i="1"/>
  <c r="H30" i="1"/>
  <c r="D30" i="1"/>
  <c r="AZ29" i="1"/>
  <c r="AV29" i="1"/>
  <c r="AR29" i="1"/>
  <c r="AN29" i="1"/>
  <c r="AJ29" i="1"/>
  <c r="AF29" i="1"/>
  <c r="AB29" i="1"/>
  <c r="T29" i="1"/>
  <c r="P29" i="1"/>
  <c r="L29" i="1"/>
  <c r="H29" i="1"/>
  <c r="D29" i="1"/>
  <c r="AZ28" i="1"/>
  <c r="AV28" i="1"/>
  <c r="AR28" i="1"/>
  <c r="AN28" i="1"/>
  <c r="AJ28" i="1"/>
  <c r="AF28" i="1"/>
  <c r="AB28" i="1"/>
  <c r="T28" i="1"/>
  <c r="P28" i="1"/>
  <c r="L28" i="1"/>
  <c r="H28" i="1"/>
  <c r="D28" i="1"/>
  <c r="AZ27" i="1"/>
  <c r="AV27" i="1"/>
  <c r="AR27" i="1"/>
  <c r="AN27" i="1"/>
  <c r="AJ27" i="1"/>
  <c r="AF27" i="1"/>
  <c r="AB27" i="1"/>
  <c r="T27" i="1"/>
  <c r="P27" i="1"/>
  <c r="L27" i="1"/>
  <c r="H27" i="1"/>
  <c r="D27" i="1"/>
  <c r="AZ26" i="1"/>
  <c r="AV26" i="1"/>
  <c r="AR26" i="1"/>
  <c r="AN26" i="1"/>
  <c r="AJ26" i="1"/>
  <c r="AF26" i="1"/>
  <c r="AB26" i="1"/>
  <c r="T26" i="1"/>
  <c r="P26" i="1"/>
  <c r="L26" i="1"/>
  <c r="H26" i="1"/>
  <c r="D26" i="1"/>
  <c r="AZ25" i="1"/>
  <c r="AV25" i="1"/>
  <c r="AR25" i="1"/>
  <c r="AN25" i="1"/>
  <c r="AJ25" i="1"/>
  <c r="AF25" i="1"/>
  <c r="AB25" i="1"/>
  <c r="T25" i="1"/>
  <c r="P25" i="1"/>
  <c r="L25" i="1"/>
  <c r="D25" i="1"/>
  <c r="AZ24" i="1"/>
  <c r="AV24" i="1"/>
  <c r="AR24" i="1"/>
  <c r="AN24" i="1"/>
  <c r="AJ24" i="1"/>
  <c r="AF24" i="1"/>
  <c r="AB24" i="1"/>
  <c r="T24" i="1"/>
  <c r="P24" i="1"/>
  <c r="L24" i="1"/>
  <c r="D24" i="1"/>
  <c r="AZ23" i="1"/>
  <c r="AV23" i="1"/>
  <c r="AR23" i="1"/>
  <c r="AN23" i="1"/>
  <c r="AJ23" i="1"/>
  <c r="AF23" i="1"/>
  <c r="AB23" i="1"/>
  <c r="T23" i="1"/>
  <c r="P23" i="1"/>
  <c r="L23" i="1"/>
  <c r="H23" i="1"/>
  <c r="D23" i="1"/>
  <c r="AZ22" i="1"/>
  <c r="AV22" i="1"/>
  <c r="AR22" i="1"/>
  <c r="AN22" i="1"/>
  <c r="AJ22" i="1"/>
  <c r="AF22" i="1"/>
  <c r="AB22" i="1"/>
  <c r="T22" i="1"/>
  <c r="P22" i="1"/>
  <c r="L22" i="1"/>
  <c r="H22" i="1"/>
  <c r="D22" i="1"/>
  <c r="AZ21" i="1"/>
  <c r="AV21" i="1"/>
  <c r="AR21" i="1"/>
  <c r="AN21" i="1"/>
  <c r="AJ21" i="1"/>
  <c r="AF21" i="1"/>
  <c r="AB21" i="1"/>
  <c r="T21" i="1"/>
  <c r="P21" i="1"/>
  <c r="L21" i="1"/>
  <c r="H21" i="1"/>
  <c r="D21" i="1"/>
  <c r="AZ20" i="1"/>
  <c r="AV20" i="1"/>
  <c r="AR20" i="1"/>
  <c r="AN20" i="1"/>
  <c r="AJ20" i="1"/>
  <c r="AF20" i="1"/>
  <c r="AB20" i="1"/>
  <c r="T20" i="1"/>
  <c r="P20" i="1"/>
  <c r="L20" i="1"/>
  <c r="H20" i="1"/>
  <c r="D20" i="1"/>
  <c r="AZ19" i="1"/>
  <c r="AV19" i="1"/>
  <c r="AR19" i="1"/>
  <c r="AN19" i="1"/>
  <c r="AJ19" i="1"/>
  <c r="AF19" i="1"/>
  <c r="AB19" i="1"/>
  <c r="T19" i="1"/>
  <c r="P19" i="1"/>
  <c r="L19" i="1"/>
  <c r="H19" i="1"/>
  <c r="D19" i="1"/>
  <c r="AZ18" i="1"/>
  <c r="AV18" i="1"/>
  <c r="AR18" i="1"/>
  <c r="AN18" i="1"/>
  <c r="AJ18" i="1"/>
  <c r="AF18" i="1"/>
  <c r="AB18" i="1"/>
  <c r="T18" i="1"/>
  <c r="P18" i="1"/>
  <c r="L18" i="1"/>
  <c r="H18" i="1"/>
  <c r="D18" i="1"/>
  <c r="AZ17" i="1"/>
  <c r="AV17" i="1"/>
  <c r="AR17" i="1"/>
  <c r="AN17" i="1"/>
  <c r="AJ17" i="1"/>
  <c r="AF17" i="1"/>
  <c r="AB17" i="1"/>
  <c r="T17" i="1"/>
  <c r="P17" i="1"/>
  <c r="L17" i="1"/>
  <c r="H17" i="1"/>
  <c r="D17" i="1"/>
  <c r="AZ16" i="1"/>
  <c r="AV16" i="1"/>
  <c r="AR16" i="1"/>
  <c r="AN16" i="1"/>
  <c r="AJ16" i="1"/>
  <c r="AF16" i="1"/>
  <c r="AB16" i="1"/>
  <c r="T16" i="1"/>
  <c r="P16" i="1"/>
  <c r="L16" i="1"/>
  <c r="H16" i="1"/>
  <c r="D16" i="1"/>
  <c r="AZ15" i="1"/>
  <c r="AV15" i="1"/>
  <c r="AR15" i="1"/>
  <c r="AN15" i="1"/>
  <c r="AJ15" i="1"/>
  <c r="AF15" i="1"/>
  <c r="AB15" i="1"/>
  <c r="T15" i="1"/>
  <c r="P15" i="1"/>
  <c r="L15" i="1"/>
  <c r="H15" i="1"/>
  <c r="D15" i="1"/>
  <c r="AZ14" i="1"/>
  <c r="AV14" i="1"/>
  <c r="AR14" i="1"/>
  <c r="AN14" i="1"/>
  <c r="AJ14" i="1"/>
  <c r="AF14" i="1"/>
  <c r="AB14" i="1"/>
  <c r="T14" i="1"/>
  <c r="P14" i="1"/>
  <c r="L14" i="1"/>
  <c r="H14" i="1"/>
  <c r="D14" i="1"/>
  <c r="AZ13" i="1"/>
  <c r="AV13" i="1"/>
  <c r="AR13" i="1"/>
  <c r="AN13" i="1"/>
  <c r="AJ13" i="1"/>
  <c r="AF13" i="1"/>
  <c r="AB13" i="1"/>
  <c r="T13" i="1"/>
  <c r="P13" i="1"/>
  <c r="L13" i="1"/>
  <c r="H13" i="1"/>
  <c r="D13" i="1"/>
  <c r="AZ12" i="1"/>
  <c r="AV12" i="1"/>
  <c r="AR12" i="1"/>
  <c r="AN12" i="1"/>
  <c r="AJ12" i="1"/>
  <c r="AF12" i="1"/>
  <c r="AB12" i="1"/>
  <c r="T12" i="1"/>
  <c r="P12" i="1"/>
  <c r="L12" i="1"/>
  <c r="H12" i="1"/>
  <c r="D12" i="1"/>
  <c r="AZ11" i="1"/>
  <c r="AV11" i="1"/>
  <c r="AR11" i="1"/>
  <c r="AN11" i="1"/>
  <c r="AJ11" i="1"/>
  <c r="AF11" i="1"/>
  <c r="AB11" i="1"/>
  <c r="T11" i="1"/>
  <c r="P11" i="1"/>
  <c r="L11" i="1"/>
  <c r="H11" i="1"/>
  <c r="D11" i="1"/>
  <c r="AZ10" i="1"/>
  <c r="AV10" i="1"/>
  <c r="AR10" i="1"/>
  <c r="AN10" i="1"/>
  <c r="AJ10" i="1"/>
  <c r="AF10" i="1"/>
  <c r="AB10" i="1"/>
  <c r="T10" i="1"/>
  <c r="P10" i="1"/>
  <c r="L10" i="1"/>
  <c r="H10" i="1"/>
  <c r="D10" i="1"/>
  <c r="AZ9" i="1"/>
  <c r="AV9" i="1"/>
  <c r="AR9" i="1"/>
  <c r="AN9" i="1"/>
  <c r="AJ9" i="1"/>
  <c r="AF9" i="1"/>
  <c r="AB9" i="1"/>
  <c r="T9" i="1"/>
  <c r="P9" i="1"/>
  <c r="L9" i="1"/>
  <c r="H9" i="1"/>
  <c r="D9" i="1"/>
  <c r="AZ8" i="1"/>
  <c r="AV8" i="1"/>
  <c r="AR8" i="1"/>
  <c r="AN8" i="1"/>
  <c r="AJ8" i="1"/>
  <c r="AF8" i="1"/>
  <c r="AB8" i="1"/>
  <c r="T8" i="1"/>
  <c r="P8" i="1"/>
  <c r="L8" i="1"/>
  <c r="H8" i="1"/>
  <c r="D8" i="1"/>
  <c r="AZ7" i="1"/>
  <c r="AV7" i="1"/>
  <c r="AR7" i="1"/>
  <c r="AN7" i="1"/>
  <c r="AJ7" i="1"/>
  <c r="AF7" i="1"/>
  <c r="AB7" i="1"/>
  <c r="T7" i="1"/>
  <c r="P7" i="1"/>
  <c r="L7" i="1"/>
  <c r="H7" i="1"/>
  <c r="D7" i="1"/>
  <c r="AZ6" i="1"/>
  <c r="AV6" i="1"/>
  <c r="AR6" i="1"/>
  <c r="AN6" i="1"/>
  <c r="AJ6" i="1"/>
  <c r="AF6" i="1"/>
  <c r="AB6" i="1"/>
  <c r="T6" i="1"/>
  <c r="P6" i="1"/>
  <c r="L6" i="1"/>
  <c r="H6" i="1"/>
  <c r="D6" i="1"/>
  <c r="AZ5" i="1"/>
  <c r="AV5" i="1"/>
  <c r="AR5" i="1"/>
  <c r="AN5" i="1"/>
  <c r="AJ5" i="1"/>
  <c r="AF5" i="1"/>
  <c r="AB5" i="1"/>
  <c r="T5" i="1"/>
  <c r="P5" i="1"/>
  <c r="L5" i="1"/>
  <c r="H5" i="1"/>
  <c r="D5" i="1"/>
  <c r="AZ4" i="1"/>
  <c r="AV4" i="1"/>
  <c r="AR4" i="1"/>
  <c r="AN4" i="1"/>
  <c r="AJ4" i="1"/>
  <c r="AF4" i="1"/>
  <c r="AB4" i="1"/>
  <c r="T4" i="1"/>
  <c r="P4" i="1"/>
  <c r="L4" i="1"/>
  <c r="H4" i="1"/>
  <c r="D4" i="1"/>
  <c r="AZ3" i="1"/>
  <c r="AV3" i="1"/>
  <c r="AR3" i="1"/>
  <c r="AN3" i="1"/>
  <c r="AJ3" i="1"/>
  <c r="AF3" i="1"/>
  <c r="AB3" i="1"/>
  <c r="T3" i="1"/>
  <c r="P3" i="1"/>
  <c r="L3" i="1"/>
  <c r="H3" i="1"/>
  <c r="D3" i="1"/>
  <c r="AZ2" i="1"/>
  <c r="AV2" i="1"/>
  <c r="AR2" i="1"/>
  <c r="AN2" i="1"/>
  <c r="AJ2" i="1"/>
  <c r="AF2" i="1"/>
  <c r="AB2" i="1"/>
  <c r="T2" i="1"/>
  <c r="P2" i="1"/>
  <c r="L2" i="1"/>
  <c r="H2" i="1"/>
  <c r="D2" i="1"/>
</calcChain>
</file>

<file path=xl/sharedStrings.xml><?xml version="1.0" encoding="utf-8"?>
<sst xmlns="http://schemas.openxmlformats.org/spreadsheetml/2006/main" count="759" uniqueCount="53">
  <si>
    <t>releasedate_nfp</t>
  </si>
  <si>
    <t>actual_nfp</t>
  </si>
  <si>
    <t>forecast_nfp</t>
  </si>
  <si>
    <t>surp_nfp</t>
  </si>
  <si>
    <t>releasedate_unemp</t>
  </si>
  <si>
    <t>actual_unemp</t>
  </si>
  <si>
    <t>forecast_unemp</t>
  </si>
  <si>
    <t>surp_unemp</t>
  </si>
  <si>
    <t>releasedate_corecpi</t>
  </si>
  <si>
    <t>actual_corecpi</t>
  </si>
  <si>
    <t>forecast_corecpi</t>
  </si>
  <si>
    <t>surp_corecpi</t>
  </si>
  <si>
    <t>releasedate_gdp</t>
  </si>
  <si>
    <t>actual_gdp</t>
  </si>
  <si>
    <t>forecast_gdp</t>
  </si>
  <si>
    <t>surp_gdp</t>
  </si>
  <si>
    <t>releasedate_retsailes</t>
  </si>
  <si>
    <t>actual_retsailes</t>
  </si>
  <si>
    <t>forecast_retsailes</t>
  </si>
  <si>
    <t>surp_retsailes</t>
  </si>
  <si>
    <t>releasedate_ism_pmi</t>
  </si>
  <si>
    <t>actual_ism_pmi</t>
  </si>
  <si>
    <t>forecast_ism_pmi</t>
  </si>
  <si>
    <t>surp_ism_pmi</t>
  </si>
  <si>
    <t>releasedate_dgorders</t>
  </si>
  <si>
    <t>actual_dgorders</t>
  </si>
  <si>
    <t>forecast_dgorders</t>
  </si>
  <si>
    <t>surp_dgorders</t>
  </si>
  <si>
    <t>releasedate_newhomesales</t>
  </si>
  <si>
    <t>actual_newhomesales</t>
  </si>
  <si>
    <t>forecast_newhomesales</t>
  </si>
  <si>
    <t>surp_newhomesales</t>
  </si>
  <si>
    <t>releasedate_consconfid</t>
  </si>
  <si>
    <t>actual_consconfid</t>
  </si>
  <si>
    <t>forecast_consconfid</t>
  </si>
  <si>
    <t>surp_consconfid</t>
  </si>
  <si>
    <t>releasedate_avghourlyearnmings</t>
  </si>
  <si>
    <t>actual_avghourlyearnmings</t>
  </si>
  <si>
    <t>forecast_avghourlyearnmings</t>
  </si>
  <si>
    <t>surp_avghourlyearnmings</t>
  </si>
  <si>
    <t>releasedate_cpi</t>
  </si>
  <si>
    <t>actual_cpi</t>
  </si>
  <si>
    <t>forecast_cpi</t>
  </si>
  <si>
    <t>surp_cpi</t>
  </si>
  <si>
    <t>releasedate_tradebal</t>
  </si>
  <si>
    <t>actual_tradebal</t>
  </si>
  <si>
    <t>forecast_tradebal</t>
  </si>
  <si>
    <t>surp_tradebal</t>
  </si>
  <si>
    <t>releasedate_indprod</t>
  </si>
  <si>
    <t>actual_indprod</t>
  </si>
  <si>
    <t>forecast_indprod</t>
  </si>
  <si>
    <t>surp_indprod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</si>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</sst>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quotePrefix="1"/>
    <xf numFmtId="164" fontId="1" fillId="0" borderId="0" xfId="1" applyNumberFormat="1"/>
    <xf numFmtId="0" fontId="2" fillId="0" borderId="0" xfId="1" applyFont="1"/>
    <xf numFmtId="0" fontId="3" fillId="0" borderId="0" xfId="1" applyFont="1"/>
    <xf numFmtId="165" fontId="1" fillId="0" borderId="0" xfId="1" applyNumberFormat="1"/>
    <xf numFmtId="14" fontId="3" fillId="0" borderId="0" xfId="1" applyNumberFormat="1" applyFont="1"/>
    <xf numFmtId="14" fontId="2" fillId="0" borderId="0" xfId="1" applyNumberFormat="1" applyFont="1"/>
  </cellXfs>
  <cellStyles count="2">
    <cellStyle name="Normal" xfId="0" builtinId="0"/>
    <cellStyle name="Normal 2" xfId="1" xr:uid="{447F0371-97E7-F94B-96AF-0EA0FF6B0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C211-A3F2-A74D-A6A3-2D662626F9B3}">
  <dimension ref="A1:BA342"/>
  <sheetViews>
    <sheetView tabSelected="1" topLeftCell="B1" workbookViewId="0">
      <selection activeCell="AV47" sqref="AV47"/>
    </sheetView>
  </sheetViews>
  <sheetFormatPr baseColWidth="10" defaultRowHeight="16" x14ac:dyDescent="0.2"/>
  <cols>
    <col min="1" max="1" width="14.1640625" style="1" bestFit="1" customWidth="1"/>
    <col min="2" max="2" width="9.6640625" style="1" bestFit="1" customWidth="1"/>
    <col min="3" max="3" width="11.1640625" style="1" bestFit="1" customWidth="1"/>
    <col min="4" max="4" width="8" style="1" bestFit="1" customWidth="1"/>
    <col min="5" max="5" width="17.33203125" style="1" bestFit="1" customWidth="1"/>
    <col min="6" max="6" width="12.6640625" style="1" bestFit="1" customWidth="1"/>
    <col min="7" max="7" width="14.1640625" style="1" bestFit="1" customWidth="1"/>
    <col min="8" max="8" width="11" style="1" bestFit="1" customWidth="1"/>
    <col min="9" max="9" width="18" style="1" bestFit="1" customWidth="1"/>
    <col min="10" max="10" width="13.33203125" style="1" bestFit="1" customWidth="1"/>
    <col min="11" max="11" width="14.83203125" style="1" bestFit="1" customWidth="1"/>
    <col min="12" max="12" width="11.6640625" style="1" bestFit="1" customWidth="1"/>
    <col min="13" max="13" width="14.5" style="1" bestFit="1" customWidth="1"/>
    <col min="14" max="14" width="10" style="1" bestFit="1" customWidth="1"/>
    <col min="15" max="15" width="11.5" style="1" bestFit="1" customWidth="1"/>
    <col min="16" max="16" width="8.33203125" style="1" bestFit="1" customWidth="1"/>
    <col min="17" max="17" width="18.83203125" style="1" bestFit="1" customWidth="1"/>
    <col min="18" max="18" width="14.1640625" style="1" bestFit="1" customWidth="1"/>
    <col min="19" max="19" width="15.6640625" style="1" bestFit="1" customWidth="1"/>
    <col min="20" max="20" width="12.5" style="1" bestFit="1" customWidth="1"/>
    <col min="21" max="21" width="18.5" style="1" bestFit="1" customWidth="1"/>
    <col min="22" max="22" width="13.83203125" style="1" bestFit="1" customWidth="1"/>
    <col min="23" max="23" width="15.33203125" style="1" bestFit="1" customWidth="1"/>
    <col min="24" max="24" width="12.1640625" style="1" bestFit="1" customWidth="1"/>
    <col min="25" max="25" width="18.83203125" style="1" bestFit="1" customWidth="1"/>
    <col min="26" max="26" width="14.1640625" style="1" bestFit="1" customWidth="1"/>
    <col min="27" max="27" width="15.6640625" style="1" bestFit="1" customWidth="1"/>
    <col min="28" max="28" width="12.5" style="1" bestFit="1" customWidth="1"/>
    <col min="29" max="29" width="24" style="1" bestFit="1" customWidth="1"/>
    <col min="30" max="30" width="19.33203125" style="1" bestFit="1" customWidth="1"/>
    <col min="31" max="31" width="20.83203125" style="1" bestFit="1" customWidth="1"/>
    <col min="32" max="32" width="17.6640625" style="1" bestFit="1" customWidth="1"/>
    <col min="33" max="33" width="20.6640625" style="1" bestFit="1" customWidth="1"/>
    <col min="34" max="34" width="16" style="1" bestFit="1" customWidth="1"/>
    <col min="35" max="35" width="17.6640625" style="1" bestFit="1" customWidth="1"/>
    <col min="36" max="36" width="14.33203125" style="1" bestFit="1" customWidth="1"/>
    <col min="37" max="37" width="28.1640625" style="1" bestFit="1" customWidth="1"/>
    <col min="38" max="38" width="23.5" style="1" bestFit="1" customWidth="1"/>
    <col min="39" max="39" width="25" style="1" bestFit="1" customWidth="1"/>
    <col min="40" max="40" width="21.83203125" style="1" bestFit="1" customWidth="1"/>
    <col min="41" max="41" width="14.1640625" style="1" bestFit="1" customWidth="1"/>
    <col min="42" max="42" width="9.6640625" style="1" bestFit="1" customWidth="1"/>
    <col min="43" max="43" width="11.1640625" style="1" bestFit="1" customWidth="1"/>
    <col min="44" max="44" width="8" style="1" bestFit="1" customWidth="1"/>
    <col min="45" max="45" width="18.6640625" style="1" bestFit="1" customWidth="1"/>
    <col min="46" max="46" width="14" style="1" bestFit="1" customWidth="1"/>
    <col min="47" max="47" width="15.5" style="1" bestFit="1" customWidth="1"/>
    <col min="48" max="48" width="12.33203125" style="1" bestFit="1" customWidth="1"/>
    <col min="49" max="49" width="18" style="1" bestFit="1" customWidth="1"/>
    <col min="50" max="50" width="13.33203125" style="1" bestFit="1" customWidth="1"/>
    <col min="51" max="51" width="14.83203125" style="1" bestFit="1" customWidth="1"/>
    <col min="52" max="52" width="11.6640625" style="1" bestFit="1" customWidth="1"/>
    <col min="53" max="16384" width="10.83203125" style="1"/>
  </cols>
  <sheetData>
    <row r="1" spans="1:5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s="1" customFormat="1" x14ac:dyDescent="0.2">
      <c r="A2" s="2">
        <v>35804</v>
      </c>
      <c r="B2" s="1">
        <v>370</v>
      </c>
      <c r="C2" s="1">
        <v>225</v>
      </c>
      <c r="D2" s="1">
        <f>B2-C2</f>
        <v>145</v>
      </c>
      <c r="E2" s="2">
        <v>35804</v>
      </c>
      <c r="F2" s="1">
        <v>4.7</v>
      </c>
      <c r="G2" s="1">
        <v>4.5999999999999996</v>
      </c>
      <c r="H2" s="1">
        <f>F2-G2</f>
        <v>0.10000000000000053</v>
      </c>
      <c r="I2" s="2">
        <v>35808</v>
      </c>
      <c r="J2" s="1">
        <v>0.23391812865497411</v>
      </c>
      <c r="K2" s="3" t="s">
        <v>52</v>
      </c>
      <c r="L2" s="1" t="e">
        <f>J2-K2</f>
        <v>#VALUE!</v>
      </c>
      <c r="M2" s="2">
        <v>35825</v>
      </c>
      <c r="N2" s="4">
        <v>4.2982565154145558</v>
      </c>
      <c r="O2" s="1">
        <v>3.6</v>
      </c>
      <c r="P2" s="4">
        <f>N2-O2</f>
        <v>0.69825651541455569</v>
      </c>
      <c r="Q2" s="2">
        <v>37055</v>
      </c>
      <c r="R2" s="4">
        <v>7.4203854477996406E-2</v>
      </c>
      <c r="S2" s="1">
        <v>0.4</v>
      </c>
      <c r="T2" s="4">
        <f>R2-S2</f>
        <v>-0.32579614552200364</v>
      </c>
      <c r="U2" s="2">
        <v>35828</v>
      </c>
      <c r="V2" s="1" t="s">
        <v>52</v>
      </c>
      <c r="W2" s="1" t="s">
        <v>52</v>
      </c>
      <c r="X2" s="1">
        <v>-0.4</v>
      </c>
      <c r="Y2" s="2">
        <v>36397</v>
      </c>
      <c r="Z2" s="5">
        <v>3.3083041799999999</v>
      </c>
      <c r="AA2" s="1">
        <v>0.8</v>
      </c>
      <c r="AB2" s="1">
        <f>Z2-AA2</f>
        <v>2.5083041799999997</v>
      </c>
      <c r="AC2" s="2">
        <v>36371</v>
      </c>
      <c r="AD2" s="5">
        <v>0.92900000000000005</v>
      </c>
      <c r="AE2" s="6">
        <v>0.9</v>
      </c>
      <c r="AF2" s="7">
        <f>AD2-AE2</f>
        <v>2.9000000000000026E-2</v>
      </c>
      <c r="AG2" s="8">
        <v>35822</v>
      </c>
      <c r="AH2" s="6">
        <v>128.30000000000001</v>
      </c>
      <c r="AI2" s="1">
        <v>132</v>
      </c>
      <c r="AJ2" s="1">
        <f>AH2-AI2</f>
        <v>-3.6999999999999886</v>
      </c>
      <c r="AK2" s="2">
        <v>36805</v>
      </c>
      <c r="AL2" s="1">
        <v>0.21739130434781373</v>
      </c>
      <c r="AM2" s="1">
        <v>0.3</v>
      </c>
      <c r="AN2" s="4">
        <f>AL2-AM2</f>
        <v>-8.2608695652186259E-2</v>
      </c>
      <c r="AO2" s="2">
        <v>35808</v>
      </c>
      <c r="AP2" s="5">
        <v>6.1804699999999997E-2</v>
      </c>
      <c r="AQ2" s="1">
        <v>0.1</v>
      </c>
      <c r="AR2" s="4">
        <f>AP2-AQ2</f>
        <v>-3.8195300000000008E-2</v>
      </c>
      <c r="AS2" s="2">
        <v>35816</v>
      </c>
      <c r="AT2" s="5">
        <v>-8.0370000000000008</v>
      </c>
      <c r="AU2" s="1">
        <v>-10</v>
      </c>
      <c r="AV2" s="4">
        <f>AT2-AU2</f>
        <v>1.9629999999999992</v>
      </c>
      <c r="AW2" s="9">
        <v>35811</v>
      </c>
      <c r="AX2" s="4">
        <v>0.48464126351780101</v>
      </c>
      <c r="AY2" s="6">
        <v>0.5</v>
      </c>
      <c r="AZ2" s="4">
        <f>AX2-AY2</f>
        <v>-1.5358736482198987E-2</v>
      </c>
    </row>
    <row r="3" spans="1:52" s="1" customFormat="1" x14ac:dyDescent="0.2">
      <c r="A3" s="2">
        <v>35832</v>
      </c>
      <c r="B3" s="1">
        <v>358</v>
      </c>
      <c r="C3" s="1">
        <v>263</v>
      </c>
      <c r="D3" s="1">
        <f>B3-C3</f>
        <v>95</v>
      </c>
      <c r="E3" s="2">
        <v>35832</v>
      </c>
      <c r="F3" s="1">
        <v>4.7</v>
      </c>
      <c r="G3" s="1">
        <v>4.7</v>
      </c>
      <c r="H3" s="1">
        <f>F3-G3</f>
        <v>0</v>
      </c>
      <c r="I3" s="2">
        <v>35850</v>
      </c>
      <c r="J3" s="1">
        <v>0.17502917152857816</v>
      </c>
      <c r="K3" s="3" t="s">
        <v>52</v>
      </c>
      <c r="L3" s="1" t="e">
        <f>J3-K3</f>
        <v>#VALUE!</v>
      </c>
      <c r="M3" s="2">
        <v>35915</v>
      </c>
      <c r="N3" s="4">
        <v>4.2416711166722409</v>
      </c>
      <c r="O3" s="1">
        <v>3.3</v>
      </c>
      <c r="P3" s="4">
        <f>N3-O3</f>
        <v>0.94167111667224113</v>
      </c>
      <c r="Q3" s="2">
        <v>37085</v>
      </c>
      <c r="R3" s="4">
        <v>0.23236077175259501</v>
      </c>
      <c r="S3" s="1">
        <v>0.3</v>
      </c>
      <c r="T3" s="4">
        <f>R3-S3</f>
        <v>-6.7639228247404981E-2</v>
      </c>
      <c r="U3" s="2">
        <v>35856</v>
      </c>
      <c r="V3" s="1" t="s">
        <v>52</v>
      </c>
      <c r="W3" s="1" t="s">
        <v>52</v>
      </c>
      <c r="X3" s="1">
        <v>0.8</v>
      </c>
      <c r="Y3" s="2">
        <v>36432</v>
      </c>
      <c r="Z3" s="5">
        <v>0.88666058999999997</v>
      </c>
      <c r="AA3" s="1">
        <v>-0.9</v>
      </c>
      <c r="AB3" s="1">
        <f>Z3-AA3</f>
        <v>1.7866605899999999</v>
      </c>
      <c r="AC3" s="2">
        <v>36402</v>
      </c>
      <c r="AD3" s="5">
        <v>0.98</v>
      </c>
      <c r="AE3" s="6">
        <v>0.90500000000000003</v>
      </c>
      <c r="AF3" s="7">
        <f>AD3-AE3</f>
        <v>7.4999999999999956E-2</v>
      </c>
      <c r="AG3" s="8">
        <v>35850</v>
      </c>
      <c r="AH3" s="6">
        <v>137.4</v>
      </c>
      <c r="AI3" s="1">
        <v>129</v>
      </c>
      <c r="AJ3" s="1">
        <f>AH3-AI3</f>
        <v>8.4000000000000057</v>
      </c>
      <c r="AK3" s="2">
        <v>36833</v>
      </c>
      <c r="AL3" s="1">
        <v>0.43383947939263923</v>
      </c>
      <c r="AM3" s="1">
        <v>0.3</v>
      </c>
      <c r="AN3" s="4">
        <f>AL3-AM3</f>
        <v>0.13383947939263924</v>
      </c>
      <c r="AO3" s="2">
        <v>35850</v>
      </c>
      <c r="AP3" s="5">
        <v>0</v>
      </c>
      <c r="AQ3" s="1">
        <v>0.1</v>
      </c>
      <c r="AR3" s="4">
        <f>AP3-AQ3</f>
        <v>-0.1</v>
      </c>
      <c r="AS3" s="2">
        <v>35845</v>
      </c>
      <c r="AT3" s="5">
        <v>-10.785</v>
      </c>
      <c r="AU3" s="3" t="s">
        <v>52</v>
      </c>
      <c r="AV3" s="4" t="e">
        <f>AT3-AU3</f>
        <v>#VALUE!</v>
      </c>
      <c r="AW3" s="9">
        <v>35843</v>
      </c>
      <c r="AX3" s="4">
        <v>2.2674673171949301E-2</v>
      </c>
      <c r="AY3" s="6">
        <v>0.2</v>
      </c>
      <c r="AZ3" s="4">
        <f>AX3-AY3</f>
        <v>-0.17732532682805072</v>
      </c>
    </row>
    <row r="4" spans="1:52" s="1" customFormat="1" x14ac:dyDescent="0.2">
      <c r="A4" s="2">
        <v>35860</v>
      </c>
      <c r="B4" s="1">
        <v>310</v>
      </c>
      <c r="C4" s="1">
        <v>253</v>
      </c>
      <c r="D4" s="1">
        <f>B4-C4</f>
        <v>57</v>
      </c>
      <c r="E4" s="2">
        <v>35860</v>
      </c>
      <c r="F4" s="1">
        <v>4.5999999999999996</v>
      </c>
      <c r="G4" s="1">
        <v>4.7</v>
      </c>
      <c r="H4" s="1">
        <f>F4-G4</f>
        <v>-0.10000000000000053</v>
      </c>
      <c r="I4" s="2">
        <v>35873</v>
      </c>
      <c r="J4" s="1">
        <v>0.29120559114735006</v>
      </c>
      <c r="K4" s="3" t="s">
        <v>52</v>
      </c>
      <c r="L4" s="1" t="e">
        <f>J4-K4</f>
        <v>#VALUE!</v>
      </c>
      <c r="M4" s="2">
        <v>36007</v>
      </c>
      <c r="N4" s="4">
        <v>1.4167652522888208</v>
      </c>
      <c r="O4" s="1">
        <v>0</v>
      </c>
      <c r="P4" s="4">
        <f>N4-O4</f>
        <v>1.4167652522888208</v>
      </c>
      <c r="Q4" s="2">
        <v>37117</v>
      </c>
      <c r="R4" s="4">
        <v>2.3662308000946399E-2</v>
      </c>
      <c r="S4" s="1">
        <v>-0.2</v>
      </c>
      <c r="T4" s="4">
        <f>R4-S4</f>
        <v>0.22366230800094641</v>
      </c>
      <c r="U4" s="2">
        <v>35886</v>
      </c>
      <c r="V4" s="1" t="s">
        <v>52</v>
      </c>
      <c r="W4" s="1" t="s">
        <v>52</v>
      </c>
      <c r="X4" s="1">
        <v>1.8</v>
      </c>
      <c r="Y4" s="2">
        <v>36460</v>
      </c>
      <c r="Z4" s="5">
        <v>-1.3139453000000001</v>
      </c>
      <c r="AA4" s="1">
        <v>-0.4</v>
      </c>
      <c r="AB4" s="1">
        <f>Z4-AA4</f>
        <v>-0.91394530000000007</v>
      </c>
      <c r="AC4" s="2">
        <v>36433</v>
      </c>
      <c r="AD4" s="5">
        <v>0.98299999999999998</v>
      </c>
      <c r="AE4" s="6">
        <v>0.95</v>
      </c>
      <c r="AF4" s="7">
        <f>AD4-AE4</f>
        <v>3.3000000000000029E-2</v>
      </c>
      <c r="AG4" s="8">
        <v>35885</v>
      </c>
      <c r="AH4" s="6">
        <v>133.80000000000001</v>
      </c>
      <c r="AI4" s="1">
        <v>136</v>
      </c>
      <c r="AJ4" s="1">
        <f>AH4-AI4</f>
        <v>-2.1999999999999886</v>
      </c>
      <c r="AK4" s="2">
        <v>36868</v>
      </c>
      <c r="AL4" s="1">
        <v>0.35997120230379931</v>
      </c>
      <c r="AM4" s="1">
        <v>0.3</v>
      </c>
      <c r="AN4" s="4">
        <f>AL4-AM4</f>
        <v>5.997120230379932E-2</v>
      </c>
      <c r="AO4" s="2">
        <v>35873</v>
      </c>
      <c r="AP4" s="5">
        <v>6.1766519999999998E-2</v>
      </c>
      <c r="AQ4" s="1">
        <v>0.1</v>
      </c>
      <c r="AR4" s="4">
        <f>AP4-AQ4</f>
        <v>-3.8233480000000007E-2</v>
      </c>
      <c r="AS4" s="2">
        <v>35873</v>
      </c>
      <c r="AT4" s="5">
        <v>-12.042999999999999</v>
      </c>
      <c r="AU4" s="1">
        <v>-11.5</v>
      </c>
      <c r="AV4" s="4">
        <f>AT4-AU4</f>
        <v>-0.54299999999999926</v>
      </c>
      <c r="AW4" s="9">
        <v>35871</v>
      </c>
      <c r="AX4" s="4">
        <v>4.3733941443385299E-2</v>
      </c>
      <c r="AY4" s="6">
        <v>0</v>
      </c>
      <c r="AZ4" s="4">
        <f>AX4-AY4</f>
        <v>4.3733941443385299E-2</v>
      </c>
    </row>
    <row r="5" spans="1:52" s="1" customFormat="1" x14ac:dyDescent="0.2">
      <c r="A5" s="2">
        <v>35888</v>
      </c>
      <c r="B5" s="1">
        <v>-36</v>
      </c>
      <c r="C5" s="1">
        <v>250</v>
      </c>
      <c r="D5" s="1">
        <f>B5-C5</f>
        <v>-286</v>
      </c>
      <c r="E5" s="2">
        <v>35888</v>
      </c>
      <c r="F5" s="1">
        <v>4.7</v>
      </c>
      <c r="G5" s="1">
        <v>4.5999999999999996</v>
      </c>
      <c r="H5" s="1">
        <f>F5-G5</f>
        <v>0.10000000000000053</v>
      </c>
      <c r="I5" s="2">
        <v>35899</v>
      </c>
      <c r="J5" s="1">
        <v>0.11614401858305289</v>
      </c>
      <c r="K5" s="3" t="s">
        <v>52</v>
      </c>
      <c r="L5" s="1" t="e">
        <f>J5-K5</f>
        <v>#VALUE!</v>
      </c>
      <c r="M5" s="2">
        <v>36098</v>
      </c>
      <c r="N5" s="4">
        <v>3.2883965299332907</v>
      </c>
      <c r="O5" s="1">
        <v>2.2999999999999998</v>
      </c>
      <c r="P5" s="4">
        <f>N5-O5</f>
        <v>0.98839652993329086</v>
      </c>
      <c r="Q5" s="2">
        <v>37148</v>
      </c>
      <c r="R5" s="4">
        <v>0.32691149085332399</v>
      </c>
      <c r="S5" s="1">
        <v>0.2</v>
      </c>
      <c r="T5" s="4">
        <f>R5-S5</f>
        <v>0.12691149085332398</v>
      </c>
      <c r="U5" s="2">
        <v>35916</v>
      </c>
      <c r="V5" s="1" t="s">
        <v>52</v>
      </c>
      <c r="W5" s="1" t="s">
        <v>52</v>
      </c>
      <c r="X5" s="1">
        <v>-1.1000000000000001</v>
      </c>
      <c r="Y5" s="2">
        <v>36487</v>
      </c>
      <c r="Z5" s="5">
        <v>-1.2517324000000001</v>
      </c>
      <c r="AA5" s="3" t="s">
        <v>52</v>
      </c>
      <c r="AB5" s="1" t="e">
        <f>Z5-AA5</f>
        <v>#VALUE!</v>
      </c>
      <c r="AC5" s="2">
        <v>36462</v>
      </c>
      <c r="AD5" s="5">
        <v>0.81100000000000005</v>
      </c>
      <c r="AE5" s="6">
        <v>0.95</v>
      </c>
      <c r="AF5" s="7">
        <f>AD5-AE5</f>
        <v>-0.1389999999999999</v>
      </c>
      <c r="AG5" s="8">
        <v>35913</v>
      </c>
      <c r="AH5" s="6">
        <v>137.19999999999999</v>
      </c>
      <c r="AI5" s="1">
        <v>134</v>
      </c>
      <c r="AJ5" s="1">
        <f>AH5-AI5</f>
        <v>3.1999999999999886</v>
      </c>
      <c r="AK5" s="2">
        <v>36896</v>
      </c>
      <c r="AL5" s="1">
        <v>0.50215208034434244</v>
      </c>
      <c r="AM5" s="1">
        <v>0.3</v>
      </c>
      <c r="AN5" s="4">
        <f>AL5-AM5</f>
        <v>0.20215208034434246</v>
      </c>
      <c r="AO5" s="2">
        <v>35899</v>
      </c>
      <c r="AP5" s="5">
        <v>0</v>
      </c>
      <c r="AQ5" s="1">
        <v>0.1</v>
      </c>
      <c r="AR5" s="4">
        <f>AP5-AQ5</f>
        <v>-0.1</v>
      </c>
      <c r="AS5" s="2">
        <v>35902</v>
      </c>
      <c r="AT5" s="5">
        <v>-12.108000000000001</v>
      </c>
      <c r="AU5" s="1">
        <v>-11.4</v>
      </c>
      <c r="AV5" s="4">
        <f>AT5-AU5</f>
        <v>-0.70800000000000018</v>
      </c>
      <c r="AW5" s="9">
        <v>35902</v>
      </c>
      <c r="AX5" s="4">
        <v>0.189090794965947</v>
      </c>
      <c r="AY5" s="6">
        <v>0</v>
      </c>
      <c r="AZ5" s="4">
        <f>AX5-AY5</f>
        <v>0.189090794965947</v>
      </c>
    </row>
    <row r="6" spans="1:52" s="1" customFormat="1" x14ac:dyDescent="0.2">
      <c r="A6" s="2">
        <v>35923</v>
      </c>
      <c r="B6" s="1">
        <v>262</v>
      </c>
      <c r="C6" s="1">
        <v>275</v>
      </c>
      <c r="D6" s="1">
        <f>B6-C6</f>
        <v>-13</v>
      </c>
      <c r="E6" s="2">
        <v>35923</v>
      </c>
      <c r="F6" s="1">
        <v>4.3</v>
      </c>
      <c r="G6" s="1">
        <v>4.7</v>
      </c>
      <c r="H6" s="1">
        <f>F6-G6</f>
        <v>-0.40000000000000036</v>
      </c>
      <c r="I6" s="2">
        <v>35929</v>
      </c>
      <c r="J6" s="1">
        <v>0.29002320185614849</v>
      </c>
      <c r="K6" s="3" t="s">
        <v>52</v>
      </c>
      <c r="L6" s="1" t="e">
        <f>J6-K6</f>
        <v>#VALUE!</v>
      </c>
      <c r="M6" s="2">
        <v>36189</v>
      </c>
      <c r="N6" s="4">
        <v>5.5847777645848806</v>
      </c>
      <c r="O6" s="1">
        <v>4.3</v>
      </c>
      <c r="P6" s="4">
        <f>N6-O6</f>
        <v>1.2847777645848808</v>
      </c>
      <c r="Q6" s="2">
        <v>37176</v>
      </c>
      <c r="R6" s="4">
        <v>-2.3582735529163101</v>
      </c>
      <c r="S6" s="1">
        <v>-0.7</v>
      </c>
      <c r="T6" s="4">
        <f>R6-S6</f>
        <v>-1.6582735529163102</v>
      </c>
      <c r="U6" s="2">
        <v>35947</v>
      </c>
      <c r="V6" s="1" t="s">
        <v>52</v>
      </c>
      <c r="W6" s="1" t="s">
        <v>52</v>
      </c>
      <c r="X6" s="1">
        <v>-0.9</v>
      </c>
      <c r="Y6" s="2">
        <v>36517</v>
      </c>
      <c r="Z6" s="5">
        <v>1.2076340299999999</v>
      </c>
      <c r="AA6" s="1">
        <v>1.1000000000000001</v>
      </c>
      <c r="AB6" s="1">
        <f>Z6-AA6</f>
        <v>0.10763402999999983</v>
      </c>
      <c r="AC6" s="2">
        <v>36496</v>
      </c>
      <c r="AD6" s="5">
        <v>0.98599999999999999</v>
      </c>
      <c r="AE6" s="6" t="s">
        <v>52</v>
      </c>
      <c r="AF6" s="7" t="e">
        <f>AD6-AE6</f>
        <v>#VALUE!</v>
      </c>
      <c r="AG6" s="8">
        <v>35941</v>
      </c>
      <c r="AH6" s="6">
        <v>136.30000000000001</v>
      </c>
      <c r="AI6" s="1">
        <v>135</v>
      </c>
      <c r="AJ6" s="1">
        <f>AH6-AI6</f>
        <v>1.3000000000000114</v>
      </c>
      <c r="AK6" s="2">
        <v>36924</v>
      </c>
      <c r="AL6" s="1">
        <v>7.1377587437537748E-2</v>
      </c>
      <c r="AM6" s="1">
        <v>0.3</v>
      </c>
      <c r="AN6" s="4">
        <f>AL6-AM6</f>
        <v>-0.22862241256246224</v>
      </c>
      <c r="AO6" s="2">
        <v>35929</v>
      </c>
      <c r="AP6" s="5">
        <v>0.24691357999999999</v>
      </c>
      <c r="AQ6" s="1">
        <v>0.2</v>
      </c>
      <c r="AR6" s="4">
        <f>AP6-AQ6</f>
        <v>4.6913579999999983E-2</v>
      </c>
      <c r="AS6" s="2">
        <v>35935</v>
      </c>
      <c r="AT6" s="5">
        <v>-13.025</v>
      </c>
      <c r="AU6" s="1">
        <v>-11.7</v>
      </c>
      <c r="AV6" s="4">
        <f>AT6-AU6</f>
        <v>-1.3250000000000011</v>
      </c>
      <c r="AW6" s="9">
        <v>35930</v>
      </c>
      <c r="AX6" s="4">
        <v>9.0843592394209402E-2</v>
      </c>
      <c r="AY6" s="6">
        <v>-0.2</v>
      </c>
      <c r="AZ6" s="4">
        <f>AX6-AY6</f>
        <v>0.29084359239420943</v>
      </c>
    </row>
    <row r="7" spans="1:52" s="1" customFormat="1" x14ac:dyDescent="0.2">
      <c r="A7" s="2">
        <v>35951</v>
      </c>
      <c r="B7" s="1">
        <v>296</v>
      </c>
      <c r="C7" s="1">
        <v>225</v>
      </c>
      <c r="D7" s="1">
        <f>B7-C7</f>
        <v>71</v>
      </c>
      <c r="E7" s="2">
        <v>35951</v>
      </c>
      <c r="F7" s="1">
        <v>4.3</v>
      </c>
      <c r="G7" s="1">
        <v>4.4000000000000004</v>
      </c>
      <c r="H7" s="1">
        <f>F7-G7</f>
        <v>-0.10000000000000053</v>
      </c>
      <c r="I7" s="2">
        <v>35962</v>
      </c>
      <c r="J7" s="1">
        <v>0.23134759976865568</v>
      </c>
      <c r="K7" s="3" t="s">
        <v>52</v>
      </c>
      <c r="L7" s="1" t="e">
        <f>J7-K7</f>
        <v>#VALUE!</v>
      </c>
      <c r="M7" s="2">
        <v>36280</v>
      </c>
      <c r="N7" s="4">
        <v>4.4917250835532663</v>
      </c>
      <c r="O7" s="1">
        <v>3.5</v>
      </c>
      <c r="P7" s="4">
        <f>N7-O7</f>
        <v>0.99172508355326627</v>
      </c>
      <c r="Q7" s="2">
        <v>37209</v>
      </c>
      <c r="R7" s="4">
        <v>7.12749465804505</v>
      </c>
      <c r="S7" s="1">
        <v>2</v>
      </c>
      <c r="T7" s="4">
        <f>R7-S7</f>
        <v>5.12749465804505</v>
      </c>
      <c r="U7" s="2">
        <v>35977</v>
      </c>
      <c r="V7" s="1" t="s">
        <v>52</v>
      </c>
      <c r="W7" s="1" t="s">
        <v>52</v>
      </c>
      <c r="X7" s="1">
        <v>-1.4</v>
      </c>
      <c r="Y7" s="2">
        <v>36552</v>
      </c>
      <c r="Z7" s="5">
        <v>4.0923979499999996</v>
      </c>
      <c r="AA7" s="1">
        <v>0.8</v>
      </c>
      <c r="AB7" s="1">
        <f>Z7-AA7</f>
        <v>3.2923979499999998</v>
      </c>
      <c r="AC7" s="2">
        <v>36531</v>
      </c>
      <c r="AD7" s="5">
        <v>0.86499999999999999</v>
      </c>
      <c r="AE7" s="6">
        <v>0.90500000000000003</v>
      </c>
      <c r="AF7" s="7">
        <f>AD7-AE7</f>
        <v>-4.0000000000000036E-2</v>
      </c>
      <c r="AG7" s="8">
        <v>35976</v>
      </c>
      <c r="AH7" s="6">
        <v>138.19999999999999</v>
      </c>
      <c r="AI7" s="1">
        <v>134</v>
      </c>
      <c r="AJ7" s="1">
        <f>AH7-AI7</f>
        <v>4.1999999999999886</v>
      </c>
      <c r="AK7" s="2">
        <v>36959</v>
      </c>
      <c r="AL7" s="1">
        <v>0.57061340941513272</v>
      </c>
      <c r="AM7" s="1">
        <v>0.3</v>
      </c>
      <c r="AN7" s="4">
        <f>AL7-AM7</f>
        <v>0.27061340941513273</v>
      </c>
      <c r="AO7" s="2">
        <v>35962</v>
      </c>
      <c r="AP7" s="5">
        <v>0.30788177</v>
      </c>
      <c r="AQ7" s="1">
        <v>0.2</v>
      </c>
      <c r="AR7" s="4">
        <f>AP7-AQ7</f>
        <v>0.10788176999999999</v>
      </c>
      <c r="AS7" s="2">
        <v>35964</v>
      </c>
      <c r="AT7" s="5">
        <v>-14.458</v>
      </c>
      <c r="AU7" s="1">
        <v>-13</v>
      </c>
      <c r="AV7" s="4">
        <f>AT7-AU7</f>
        <v>-1.4580000000000002</v>
      </c>
      <c r="AW7" s="9">
        <v>35962</v>
      </c>
      <c r="AX7" s="4">
        <v>0.47599353897295699</v>
      </c>
      <c r="AY7" s="6">
        <v>0.3</v>
      </c>
      <c r="AZ7" s="4">
        <f>AX7-AY7</f>
        <v>0.175993538972957</v>
      </c>
    </row>
    <row r="8" spans="1:52" s="1" customFormat="1" x14ac:dyDescent="0.2">
      <c r="A8" s="2">
        <v>35978</v>
      </c>
      <c r="B8" s="1">
        <v>205</v>
      </c>
      <c r="C8" s="1">
        <v>200</v>
      </c>
      <c r="D8" s="1">
        <f>B8-C8</f>
        <v>5</v>
      </c>
      <c r="E8" s="2">
        <v>35978</v>
      </c>
      <c r="F8" s="1">
        <v>4.5</v>
      </c>
      <c r="G8" s="1">
        <v>4.4000000000000004</v>
      </c>
      <c r="H8" s="1">
        <f>F8-G8</f>
        <v>9.9999999999999645E-2</v>
      </c>
      <c r="I8" s="2">
        <v>35990</v>
      </c>
      <c r="J8" s="1">
        <v>0.11540680900172452</v>
      </c>
      <c r="K8" s="3" t="s">
        <v>52</v>
      </c>
      <c r="L8" s="1" t="e">
        <f>J8-K8</f>
        <v>#VALUE!</v>
      </c>
      <c r="M8" s="2">
        <v>36370</v>
      </c>
      <c r="N8" s="4">
        <v>2.2875232150931568</v>
      </c>
      <c r="O8" s="1">
        <v>3.4</v>
      </c>
      <c r="P8" s="4">
        <f>N8-O8</f>
        <v>-1.1124767849068431</v>
      </c>
      <c r="Q8" s="2">
        <v>37238</v>
      </c>
      <c r="R8" s="4">
        <v>-3.6959039005940602</v>
      </c>
      <c r="S8" s="1">
        <v>-3</v>
      </c>
      <c r="T8" s="4">
        <f>R8-S8</f>
        <v>-0.69590390059406015</v>
      </c>
      <c r="U8" s="2">
        <v>36010</v>
      </c>
      <c r="V8" s="1" t="s">
        <v>52</v>
      </c>
      <c r="W8" s="1" t="s">
        <v>52</v>
      </c>
      <c r="X8" s="1">
        <v>-0.7</v>
      </c>
      <c r="Y8" s="2">
        <v>36580</v>
      </c>
      <c r="Z8" s="5">
        <v>-1.2696909999999999</v>
      </c>
      <c r="AA8" s="1">
        <v>-2.4</v>
      </c>
      <c r="AB8" s="1">
        <f>Z8-AA8</f>
        <v>1.130309</v>
      </c>
      <c r="AC8" s="2">
        <v>36558</v>
      </c>
      <c r="AD8" s="5">
        <v>0.9</v>
      </c>
      <c r="AE8" s="6">
        <v>0.9</v>
      </c>
      <c r="AF8" s="7">
        <f>AD8-AE8</f>
        <v>0</v>
      </c>
      <c r="AG8" s="8">
        <v>36004</v>
      </c>
      <c r="AH8" s="6">
        <v>137.19999999999999</v>
      </c>
      <c r="AI8" s="1">
        <v>135.5</v>
      </c>
      <c r="AJ8" s="1">
        <f>AH8-AI8</f>
        <v>1.6999999999999886</v>
      </c>
      <c r="AK8" s="2">
        <v>36987</v>
      </c>
      <c r="AL8" s="1">
        <v>0.49645390070922613</v>
      </c>
      <c r="AM8" s="1">
        <v>0.3</v>
      </c>
      <c r="AN8" s="4">
        <f>AL8-AM8</f>
        <v>0.19645390070922614</v>
      </c>
      <c r="AO8" s="2">
        <v>35990</v>
      </c>
      <c r="AP8" s="5">
        <v>6.138735E-2</v>
      </c>
      <c r="AQ8" s="1">
        <v>0.2</v>
      </c>
      <c r="AR8" s="4">
        <f>AP8-AQ8</f>
        <v>-0.13861265</v>
      </c>
      <c r="AS8" s="2">
        <v>35993</v>
      </c>
      <c r="AT8" s="5">
        <v>-15.744999999999999</v>
      </c>
      <c r="AU8" s="1">
        <v>-14.1</v>
      </c>
      <c r="AV8" s="4">
        <f>AT8-AU8</f>
        <v>-1.6449999999999996</v>
      </c>
      <c r="AW8" s="9">
        <v>35992</v>
      </c>
      <c r="AX8" s="4">
        <v>-0.61768631467857904</v>
      </c>
      <c r="AY8" s="6">
        <v>-0.4</v>
      </c>
      <c r="AZ8" s="4">
        <f>AX8-AY8</f>
        <v>-0.21768631467857902</v>
      </c>
    </row>
    <row r="9" spans="1:52" s="1" customFormat="1" x14ac:dyDescent="0.2">
      <c r="A9" s="2">
        <v>36014</v>
      </c>
      <c r="B9" s="1">
        <v>66</v>
      </c>
      <c r="C9" s="1">
        <v>30</v>
      </c>
      <c r="D9" s="1">
        <f>B9-C9</f>
        <v>36</v>
      </c>
      <c r="E9" s="2">
        <v>36014</v>
      </c>
      <c r="F9" s="1">
        <v>4.5</v>
      </c>
      <c r="G9" s="1">
        <v>4.5999999999999996</v>
      </c>
      <c r="H9" s="1">
        <f>F9-G9</f>
        <v>-9.9999999999999645E-2</v>
      </c>
      <c r="I9" s="2">
        <v>36025</v>
      </c>
      <c r="J9" s="1">
        <v>0.17291066282421405</v>
      </c>
      <c r="K9" s="3" t="s">
        <v>52</v>
      </c>
      <c r="L9" s="1" t="e">
        <f>J9-K9</f>
        <v>#VALUE!</v>
      </c>
      <c r="M9" s="2">
        <v>36461</v>
      </c>
      <c r="N9" s="4">
        <v>4.8236744099681594</v>
      </c>
      <c r="O9" s="1">
        <v>4.4000000000000004</v>
      </c>
      <c r="P9" s="4">
        <f>N9-O9</f>
        <v>0.42367440996815908</v>
      </c>
      <c r="Q9" s="2">
        <v>37271</v>
      </c>
      <c r="R9" s="4">
        <v>-0.106626769073498</v>
      </c>
      <c r="S9" s="1">
        <v>-1.4</v>
      </c>
      <c r="T9" s="4">
        <f>R9-S9</f>
        <v>1.2933732309265018</v>
      </c>
      <c r="U9" s="2">
        <v>36039</v>
      </c>
      <c r="V9" s="1" t="s">
        <v>52</v>
      </c>
      <c r="W9" s="1" t="s">
        <v>52</v>
      </c>
      <c r="X9" s="1">
        <v>-1.1000000000000001</v>
      </c>
      <c r="Y9" s="2">
        <v>36609</v>
      </c>
      <c r="Z9" s="5">
        <v>-2.2948852999999998</v>
      </c>
      <c r="AA9" s="1">
        <v>-0.2</v>
      </c>
      <c r="AB9" s="1">
        <f>Z9-AA9</f>
        <v>-2.0948852999999996</v>
      </c>
      <c r="AC9" s="2">
        <v>36587</v>
      </c>
      <c r="AD9" s="5">
        <v>0.88200000000000001</v>
      </c>
      <c r="AE9" s="6">
        <v>0.89</v>
      </c>
      <c r="AF9" s="7">
        <f>AD9-AE9</f>
        <v>-8.0000000000000071E-3</v>
      </c>
      <c r="AG9" s="8">
        <v>36032</v>
      </c>
      <c r="AH9" s="6">
        <v>133.1</v>
      </c>
      <c r="AI9" s="1">
        <v>134</v>
      </c>
      <c r="AJ9" s="1">
        <f>AH9-AI9</f>
        <v>-0.90000000000000568</v>
      </c>
      <c r="AK9" s="2">
        <v>37015</v>
      </c>
      <c r="AL9" s="1">
        <v>0.35285815102328311</v>
      </c>
      <c r="AM9" s="1">
        <v>0.3</v>
      </c>
      <c r="AN9" s="4">
        <f>AL9-AM9</f>
        <v>5.2858151023283118E-2</v>
      </c>
      <c r="AO9" s="2">
        <v>36025</v>
      </c>
      <c r="AP9" s="5">
        <v>0.18404908</v>
      </c>
      <c r="AQ9" s="1">
        <v>0.2</v>
      </c>
      <c r="AR9" s="4">
        <f>AP9-AQ9</f>
        <v>-1.5950920000000007E-2</v>
      </c>
      <c r="AS9" s="2">
        <v>36025</v>
      </c>
      <c r="AT9" s="5">
        <v>-14.151</v>
      </c>
      <c r="AU9" s="1">
        <v>-15.7</v>
      </c>
      <c r="AV9" s="4">
        <f>AT9-AU9</f>
        <v>1.5489999999999995</v>
      </c>
      <c r="AW9" s="9">
        <v>36021</v>
      </c>
      <c r="AX9" s="4">
        <v>-0.588060029167777</v>
      </c>
      <c r="AY9" s="6">
        <v>-0.5</v>
      </c>
      <c r="AZ9" s="4">
        <f>AX9-AY9</f>
        <v>-8.8060029167776999E-2</v>
      </c>
    </row>
    <row r="10" spans="1:52" s="1" customFormat="1" x14ac:dyDescent="0.2">
      <c r="A10" s="2">
        <v>36042</v>
      </c>
      <c r="B10" s="1">
        <v>365</v>
      </c>
      <c r="C10" s="1">
        <v>350</v>
      </c>
      <c r="D10" s="1">
        <f>B10-C10</f>
        <v>15</v>
      </c>
      <c r="E10" s="2">
        <v>36042</v>
      </c>
      <c r="F10" s="1">
        <v>4.5</v>
      </c>
      <c r="G10" s="1">
        <v>4.5</v>
      </c>
      <c r="H10" s="1">
        <f>F10-G10</f>
        <v>0</v>
      </c>
      <c r="I10" s="2">
        <v>36055</v>
      </c>
      <c r="J10" s="1">
        <v>0.23014959723819173</v>
      </c>
      <c r="K10" s="1">
        <v>0.2</v>
      </c>
      <c r="L10" s="4">
        <f>J10-K10</f>
        <v>3.0149597238191717E-2</v>
      </c>
      <c r="M10" s="2">
        <v>36553</v>
      </c>
      <c r="N10" s="4">
        <v>5.7979833959143301</v>
      </c>
      <c r="O10" s="1">
        <v>5.0999999999999996</v>
      </c>
      <c r="P10" s="4">
        <f>N10-O10</f>
        <v>0.69798339591433045</v>
      </c>
      <c r="Q10" s="2">
        <v>37300</v>
      </c>
      <c r="R10" s="4">
        <v>-0.23952176611880199</v>
      </c>
      <c r="S10" s="1">
        <v>-0.2</v>
      </c>
      <c r="T10" s="4">
        <f>R10-S10</f>
        <v>-3.9521766118801982E-2</v>
      </c>
      <c r="U10" s="2">
        <v>36069</v>
      </c>
      <c r="V10" s="1" t="s">
        <v>52</v>
      </c>
      <c r="W10" s="1" t="s">
        <v>52</v>
      </c>
      <c r="X10" s="1">
        <v>0.1</v>
      </c>
      <c r="Y10" s="2">
        <v>36642</v>
      </c>
      <c r="Z10" s="5">
        <v>2.59877688</v>
      </c>
      <c r="AA10" s="1">
        <v>1.5</v>
      </c>
      <c r="AB10" s="1">
        <f>Z10-AA10</f>
        <v>1.09877688</v>
      </c>
      <c r="AC10" s="2">
        <v>36614</v>
      </c>
      <c r="AD10" s="5">
        <v>0.91900000000000004</v>
      </c>
      <c r="AE10" s="6">
        <v>0.89</v>
      </c>
      <c r="AF10" s="7">
        <f>AD10-AE10</f>
        <v>2.9000000000000026E-2</v>
      </c>
      <c r="AG10" s="8">
        <v>36067</v>
      </c>
      <c r="AH10" s="6">
        <v>126.4</v>
      </c>
      <c r="AI10" s="1">
        <v>129.5</v>
      </c>
      <c r="AJ10" s="1">
        <f>AH10-AI10</f>
        <v>-3.0999999999999943</v>
      </c>
      <c r="AK10" s="2">
        <v>37043</v>
      </c>
      <c r="AL10" s="1">
        <v>0.28129395218001729</v>
      </c>
      <c r="AM10" s="1">
        <v>0.3</v>
      </c>
      <c r="AN10" s="4">
        <f>AL10-AM10</f>
        <v>-1.8706047819982696E-2</v>
      </c>
      <c r="AO10" s="2">
        <v>36055</v>
      </c>
      <c r="AP10" s="5">
        <v>0.18371096000000001</v>
      </c>
      <c r="AQ10" s="1">
        <v>0.1</v>
      </c>
      <c r="AR10" s="4">
        <f>AP10-AQ10</f>
        <v>8.3710960000000001E-2</v>
      </c>
      <c r="AS10" s="2">
        <v>36055</v>
      </c>
      <c r="AT10" s="5">
        <v>-13.923</v>
      </c>
      <c r="AU10" s="1">
        <v>-15.3</v>
      </c>
      <c r="AV10" s="4">
        <f>AT10-AU10</f>
        <v>1.3770000000000007</v>
      </c>
      <c r="AW10" s="9">
        <v>36054</v>
      </c>
      <c r="AX10" s="4">
        <v>1.66560351548657</v>
      </c>
      <c r="AY10" s="6">
        <v>0.9</v>
      </c>
      <c r="AZ10" s="4">
        <f>AX10-AY10</f>
        <v>0.76560351548657002</v>
      </c>
    </row>
    <row r="11" spans="1:52" s="1" customFormat="1" x14ac:dyDescent="0.2">
      <c r="A11" s="2">
        <v>36070</v>
      </c>
      <c r="B11" s="1">
        <v>69</v>
      </c>
      <c r="C11" s="1">
        <v>210</v>
      </c>
      <c r="D11" s="1">
        <f>B11-C11</f>
        <v>-141</v>
      </c>
      <c r="E11" s="2">
        <v>36070</v>
      </c>
      <c r="F11" s="1">
        <v>4.5999999999999996</v>
      </c>
      <c r="G11" s="1">
        <v>4.5</v>
      </c>
      <c r="H11" s="1">
        <f>F11-G11</f>
        <v>9.9999999999999645E-2</v>
      </c>
      <c r="I11" s="2">
        <v>36084</v>
      </c>
      <c r="J11" s="1">
        <v>0.17221584385764144</v>
      </c>
      <c r="K11" s="1">
        <v>0.2</v>
      </c>
      <c r="L11" s="4">
        <f>J11-K11</f>
        <v>-2.7784156142358574E-2</v>
      </c>
      <c r="M11" s="2">
        <v>36643</v>
      </c>
      <c r="N11" s="4">
        <v>5.3904833576474909</v>
      </c>
      <c r="O11" s="1">
        <v>6</v>
      </c>
      <c r="P11" s="4">
        <f>N11-O11</f>
        <v>-0.60951664235250913</v>
      </c>
      <c r="Q11" s="2">
        <v>37328</v>
      </c>
      <c r="R11" s="4">
        <v>0.27367602036501398</v>
      </c>
      <c r="S11" s="1">
        <v>0.9</v>
      </c>
      <c r="T11" s="4">
        <f>R11-S11</f>
        <v>-0.62632397963498598</v>
      </c>
      <c r="U11" s="2">
        <v>36101</v>
      </c>
      <c r="V11" s="1" t="s">
        <v>52</v>
      </c>
      <c r="W11" s="1" t="s">
        <v>52</v>
      </c>
      <c r="X11" s="1">
        <v>-0.7</v>
      </c>
      <c r="Y11" s="2">
        <v>36672</v>
      </c>
      <c r="Z11" s="5">
        <v>-6.433217</v>
      </c>
      <c r="AA11" s="1">
        <v>-0.5</v>
      </c>
      <c r="AB11" s="1">
        <f>Z11-AA11</f>
        <v>-5.933217</v>
      </c>
      <c r="AC11" s="2">
        <v>36648</v>
      </c>
      <c r="AD11" s="5">
        <v>0.96599999999999997</v>
      </c>
      <c r="AE11" s="6">
        <v>0.9</v>
      </c>
      <c r="AF11" s="7">
        <f>AD11-AE11</f>
        <v>6.5999999999999948E-2</v>
      </c>
      <c r="AG11" s="8">
        <v>36095</v>
      </c>
      <c r="AH11" s="6">
        <v>119.3</v>
      </c>
      <c r="AI11" s="1">
        <v>123.3</v>
      </c>
      <c r="AJ11" s="1">
        <f>AH11-AI11</f>
        <v>-4</v>
      </c>
      <c r="AK11" s="2">
        <v>37078</v>
      </c>
      <c r="AL11" s="1">
        <v>0.21037868162692153</v>
      </c>
      <c r="AM11" s="1">
        <v>0.3</v>
      </c>
      <c r="AN11" s="4">
        <f>AL11-AM11</f>
        <v>-8.9621318373078462E-2</v>
      </c>
      <c r="AO11" s="2">
        <v>36084</v>
      </c>
      <c r="AP11" s="5">
        <v>0</v>
      </c>
      <c r="AQ11" s="1">
        <v>0.1</v>
      </c>
      <c r="AR11" s="4">
        <f>AP11-AQ11</f>
        <v>-0.1</v>
      </c>
      <c r="AS11" s="2">
        <v>36088</v>
      </c>
      <c r="AT11" s="5">
        <v>-16.774000000000001</v>
      </c>
      <c r="AU11" s="1">
        <v>-14.9</v>
      </c>
      <c r="AV11" s="4">
        <f>AT11-AU11</f>
        <v>-1.8740000000000006</v>
      </c>
      <c r="AW11" s="9">
        <v>36084</v>
      </c>
      <c r="AX11" s="4">
        <v>-0.28521383287091201</v>
      </c>
      <c r="AY11" s="6">
        <v>0.2</v>
      </c>
      <c r="AZ11" s="4">
        <f>AX11-AY11</f>
        <v>-0.48521383287091202</v>
      </c>
    </row>
    <row r="12" spans="1:52" s="1" customFormat="1" x14ac:dyDescent="0.2">
      <c r="A12" s="2">
        <v>36104</v>
      </c>
      <c r="B12" s="1">
        <v>116</v>
      </c>
      <c r="C12" s="1">
        <v>200</v>
      </c>
      <c r="D12" s="1">
        <f>B12-C12</f>
        <v>-84</v>
      </c>
      <c r="E12" s="2">
        <v>36104</v>
      </c>
      <c r="F12" s="1">
        <v>4.5999999999999996</v>
      </c>
      <c r="G12" s="1">
        <v>4.5999999999999996</v>
      </c>
      <c r="H12" s="1">
        <f>F12-G12</f>
        <v>0</v>
      </c>
      <c r="I12" s="2">
        <v>36116</v>
      </c>
      <c r="J12" s="1">
        <v>0.17191977077364548</v>
      </c>
      <c r="K12" s="1">
        <v>0.2</v>
      </c>
      <c r="L12" s="4">
        <f>J12-K12</f>
        <v>-2.8080229226354531E-2</v>
      </c>
      <c r="M12" s="2">
        <v>36735</v>
      </c>
      <c r="N12" s="4">
        <v>5.189534585226574</v>
      </c>
      <c r="O12" s="1">
        <v>3.8</v>
      </c>
      <c r="P12" s="4">
        <f>N12-O12</f>
        <v>1.3895345852265741</v>
      </c>
      <c r="Q12" s="2">
        <v>37358</v>
      </c>
      <c r="R12" s="4">
        <v>0.21469136010515399</v>
      </c>
      <c r="S12" s="1">
        <v>0.4</v>
      </c>
      <c r="T12" s="4">
        <f>R12-S12</f>
        <v>-0.18530863989484603</v>
      </c>
      <c r="U12" s="2">
        <v>36130</v>
      </c>
      <c r="V12" s="1" t="s">
        <v>52</v>
      </c>
      <c r="W12" s="1" t="s">
        <v>52</v>
      </c>
      <c r="X12" s="1">
        <v>-1.2</v>
      </c>
      <c r="Y12" s="2">
        <v>36705</v>
      </c>
      <c r="Z12" s="5">
        <v>5.9558154400000003</v>
      </c>
      <c r="AA12" s="1">
        <v>3</v>
      </c>
      <c r="AB12" s="1">
        <f>Z12-AA12</f>
        <v>2.9558154400000003</v>
      </c>
      <c r="AC12" s="2">
        <v>36677</v>
      </c>
      <c r="AD12" s="5">
        <v>0.90900000000000003</v>
      </c>
      <c r="AE12" s="6">
        <v>0.94</v>
      </c>
      <c r="AF12" s="7">
        <f>AD12-AE12</f>
        <v>-3.0999999999999917E-2</v>
      </c>
      <c r="AG12" s="8">
        <v>36123</v>
      </c>
      <c r="AH12" s="6">
        <v>126.4</v>
      </c>
      <c r="AI12" s="1">
        <v>119.5</v>
      </c>
      <c r="AJ12" s="1">
        <f>AH12-AI12</f>
        <v>6.9000000000000057</v>
      </c>
      <c r="AK12" s="2">
        <v>37106</v>
      </c>
      <c r="AL12" s="1">
        <v>0.41987403778867005</v>
      </c>
      <c r="AM12" s="1">
        <v>0.3</v>
      </c>
      <c r="AN12" s="4">
        <f>AL12-AM12</f>
        <v>0.11987403778867006</v>
      </c>
      <c r="AO12" s="2">
        <v>36116</v>
      </c>
      <c r="AP12" s="5">
        <v>0.24449878</v>
      </c>
      <c r="AQ12" s="1">
        <v>0.2</v>
      </c>
      <c r="AR12" s="4">
        <f>AP12-AQ12</f>
        <v>4.4498779999999988E-2</v>
      </c>
      <c r="AS12" s="2">
        <v>36117</v>
      </c>
      <c r="AT12" s="5">
        <v>-14.031000000000001</v>
      </c>
      <c r="AU12" s="1">
        <v>-16</v>
      </c>
      <c r="AV12" s="4">
        <f>AT12-AU12</f>
        <v>1.9689999999999994</v>
      </c>
      <c r="AW12" s="9">
        <v>36115</v>
      </c>
      <c r="AX12" s="4">
        <v>-0.100453207494291</v>
      </c>
      <c r="AY12" s="6">
        <v>0.1</v>
      </c>
      <c r="AZ12" s="4">
        <f>AX12-AY12</f>
        <v>-0.20045320749429102</v>
      </c>
    </row>
    <row r="13" spans="1:52" s="1" customFormat="1" x14ac:dyDescent="0.2">
      <c r="A13" s="2">
        <v>36133</v>
      </c>
      <c r="B13" s="1">
        <v>267</v>
      </c>
      <c r="C13" s="1">
        <v>200</v>
      </c>
      <c r="D13" s="1">
        <f>B13-C13</f>
        <v>67</v>
      </c>
      <c r="E13" s="2">
        <v>36133</v>
      </c>
      <c r="F13" s="1">
        <v>4.4000000000000004</v>
      </c>
      <c r="G13" s="1">
        <v>4.5999999999999996</v>
      </c>
      <c r="H13" s="1">
        <f>F13-G13</f>
        <v>-0.19999999999999929</v>
      </c>
      <c r="I13" s="2">
        <v>36144</v>
      </c>
      <c r="J13" s="1">
        <v>0.1716247139588003</v>
      </c>
      <c r="K13" s="1">
        <v>0.2</v>
      </c>
      <c r="L13" s="4">
        <f>J13-K13</f>
        <v>-2.837528604119971E-2</v>
      </c>
      <c r="M13" s="2">
        <v>36826</v>
      </c>
      <c r="N13" s="4">
        <v>2.7448684920764688</v>
      </c>
      <c r="O13" s="1">
        <v>3.5</v>
      </c>
      <c r="P13" s="4">
        <f>N13-O13</f>
        <v>-0.75513150792353123</v>
      </c>
      <c r="Q13" s="2">
        <v>37390</v>
      </c>
      <c r="R13" s="4">
        <v>1.2298605281522701</v>
      </c>
      <c r="S13" s="1">
        <v>0.6</v>
      </c>
      <c r="T13" s="4">
        <f>R13-S13</f>
        <v>0.62986052815227012</v>
      </c>
      <c r="U13" s="2">
        <v>36164</v>
      </c>
      <c r="V13" s="1" t="s">
        <v>52</v>
      </c>
      <c r="W13" s="1" t="s">
        <v>52</v>
      </c>
      <c r="X13" s="1">
        <v>-2.4</v>
      </c>
      <c r="Y13" s="2">
        <v>36734</v>
      </c>
      <c r="Z13" s="5">
        <v>10.0061979</v>
      </c>
      <c r="AA13" s="1">
        <v>0</v>
      </c>
      <c r="AB13" s="1">
        <f>Z13-AA13</f>
        <v>10.0061979</v>
      </c>
      <c r="AC13" s="2">
        <v>36706</v>
      </c>
      <c r="AD13" s="5">
        <v>0.875</v>
      </c>
      <c r="AE13" s="6">
        <v>0.88500000000000001</v>
      </c>
      <c r="AF13" s="7">
        <f>AD13-AE13</f>
        <v>-1.0000000000000009E-2</v>
      </c>
      <c r="AG13" s="8">
        <v>36158</v>
      </c>
      <c r="AH13" s="6">
        <v>126.7</v>
      </c>
      <c r="AI13" s="1">
        <v>124.3</v>
      </c>
      <c r="AJ13" s="1">
        <f>AH13-AI13</f>
        <v>2.4000000000000057</v>
      </c>
      <c r="AK13" s="2">
        <v>37141</v>
      </c>
      <c r="AL13" s="1">
        <v>0.2090592334494934</v>
      </c>
      <c r="AM13" s="1">
        <v>0.3</v>
      </c>
      <c r="AN13" s="4">
        <f>AL13-AM13</f>
        <v>-9.0940766550506591E-2</v>
      </c>
      <c r="AO13" s="2">
        <v>36144</v>
      </c>
      <c r="AP13" s="5">
        <v>0.18292683000000001</v>
      </c>
      <c r="AQ13" s="1">
        <v>0.1</v>
      </c>
      <c r="AR13" s="4">
        <f>AP13-AQ13</f>
        <v>8.2926830000000007E-2</v>
      </c>
      <c r="AS13" s="2">
        <v>36146</v>
      </c>
      <c r="AT13" s="5">
        <v>-14.194000000000001</v>
      </c>
      <c r="AU13" s="1">
        <v>-15</v>
      </c>
      <c r="AV13" s="4">
        <f>AT13-AU13</f>
        <v>0.80599999999999916</v>
      </c>
      <c r="AW13" s="9">
        <v>36145</v>
      </c>
      <c r="AX13" s="4">
        <v>-0.29047997276749199</v>
      </c>
      <c r="AY13" s="6">
        <v>-0.3</v>
      </c>
      <c r="AZ13" s="4">
        <f>AX13-AY13</f>
        <v>9.5200272325079993E-3</v>
      </c>
    </row>
    <row r="14" spans="1:52" s="1" customFormat="1" x14ac:dyDescent="0.2">
      <c r="A14" s="2">
        <v>36168</v>
      </c>
      <c r="B14" s="1">
        <v>378</v>
      </c>
      <c r="C14" s="1">
        <v>193</v>
      </c>
      <c r="D14" s="1">
        <f>B14-C14</f>
        <v>185</v>
      </c>
      <c r="E14" s="2">
        <v>36168</v>
      </c>
      <c r="F14" s="1">
        <v>4.3</v>
      </c>
      <c r="G14" s="1">
        <v>4.5</v>
      </c>
      <c r="H14" s="1">
        <f>F14-G14</f>
        <v>-0.20000000000000018</v>
      </c>
      <c r="I14" s="2">
        <v>36174</v>
      </c>
      <c r="J14" s="1">
        <v>0.28555111364934321</v>
      </c>
      <c r="K14" s="1">
        <v>0.4</v>
      </c>
      <c r="L14" s="4">
        <f>J14-K14</f>
        <v>-0.11444888635065681</v>
      </c>
      <c r="M14" s="2">
        <v>36922</v>
      </c>
      <c r="N14" s="4">
        <v>1.3731494640889075</v>
      </c>
      <c r="O14" s="1">
        <v>2.2000000000000002</v>
      </c>
      <c r="P14" s="4">
        <f>N14-O14</f>
        <v>-0.8268505359110927</v>
      </c>
      <c r="Q14" s="2">
        <v>37420</v>
      </c>
      <c r="R14" s="4">
        <v>-0.88262578668820102</v>
      </c>
      <c r="S14" s="1">
        <v>-0.4</v>
      </c>
      <c r="T14" s="4">
        <f>R14-S14</f>
        <v>-0.482625786688201</v>
      </c>
      <c r="U14" s="2">
        <v>36192</v>
      </c>
      <c r="V14" s="1" t="s">
        <v>52</v>
      </c>
      <c r="W14" s="1" t="s">
        <v>52</v>
      </c>
      <c r="X14" s="1">
        <v>3.5</v>
      </c>
      <c r="Y14" s="2">
        <v>36762</v>
      </c>
      <c r="Z14" s="5">
        <v>-12.386271000000001</v>
      </c>
      <c r="AA14" s="1">
        <v>-7.7</v>
      </c>
      <c r="AB14" s="1">
        <f>Z14-AA14</f>
        <v>-4.6862710000000005</v>
      </c>
      <c r="AC14" s="2">
        <v>36740</v>
      </c>
      <c r="AD14" s="5">
        <v>0.82899999999999996</v>
      </c>
      <c r="AE14" s="6">
        <v>0.878</v>
      </c>
      <c r="AF14" s="7">
        <f>AD14-AE14</f>
        <v>-4.9000000000000044E-2</v>
      </c>
      <c r="AG14" s="8">
        <v>36186</v>
      </c>
      <c r="AH14" s="6">
        <v>128.9</v>
      </c>
      <c r="AI14" s="1">
        <v>127</v>
      </c>
      <c r="AJ14" s="1">
        <f>AH14-AI14</f>
        <v>1.9000000000000057</v>
      </c>
      <c r="AK14" s="2">
        <v>37169</v>
      </c>
      <c r="AL14" s="1">
        <v>0.41724617524339092</v>
      </c>
      <c r="AM14" s="1">
        <v>0.3</v>
      </c>
      <c r="AN14" s="4">
        <f>AL14-AM14</f>
        <v>0.11724617524339093</v>
      </c>
      <c r="AO14" s="2">
        <v>36174</v>
      </c>
      <c r="AP14" s="5">
        <v>0.12172855</v>
      </c>
      <c r="AQ14" s="1">
        <v>0.3</v>
      </c>
      <c r="AR14" s="4">
        <f>AP14-AQ14</f>
        <v>-0.17827145</v>
      </c>
      <c r="AS14" s="2">
        <v>36181</v>
      </c>
      <c r="AT14" s="5">
        <v>-15.493</v>
      </c>
      <c r="AU14" s="1">
        <v>-15</v>
      </c>
      <c r="AV14" s="4">
        <f>AT14-AU14</f>
        <v>-0.49300000000000033</v>
      </c>
      <c r="AW14" s="9">
        <v>36175</v>
      </c>
      <c r="AX14" s="4">
        <v>0.228729306791673</v>
      </c>
      <c r="AY14" s="6">
        <v>0.2</v>
      </c>
      <c r="AZ14" s="4">
        <f>AX14-AY14</f>
        <v>2.8729306791672987E-2</v>
      </c>
    </row>
    <row r="15" spans="1:52" s="1" customFormat="1" x14ac:dyDescent="0.2">
      <c r="A15" s="2">
        <v>36196</v>
      </c>
      <c r="B15" s="1">
        <v>245</v>
      </c>
      <c r="C15" s="1">
        <v>175</v>
      </c>
      <c r="D15" s="1">
        <f>B15-C15</f>
        <v>70</v>
      </c>
      <c r="E15" s="2">
        <v>36196</v>
      </c>
      <c r="F15" s="1">
        <v>4.3</v>
      </c>
      <c r="G15" s="1">
        <v>4.4000000000000004</v>
      </c>
      <c r="H15" s="1">
        <f>F15-G15</f>
        <v>-0.10000000000000053</v>
      </c>
      <c r="I15" s="2">
        <v>36210</v>
      </c>
      <c r="J15" s="1">
        <v>5.6947608200452346E-2</v>
      </c>
      <c r="K15" s="1">
        <v>0.2</v>
      </c>
      <c r="L15" s="4">
        <f>J15-K15</f>
        <v>-0.14305239179954765</v>
      </c>
      <c r="M15" s="2">
        <v>37008</v>
      </c>
      <c r="N15" s="4">
        <v>1.9818367392446801</v>
      </c>
      <c r="O15" s="1">
        <v>1</v>
      </c>
      <c r="P15" s="4">
        <f>N15-O15</f>
        <v>0.98183673924468007</v>
      </c>
      <c r="Q15" s="2">
        <v>37449</v>
      </c>
      <c r="R15" s="4">
        <v>1.0662275788536</v>
      </c>
      <c r="S15" s="1">
        <v>0.5</v>
      </c>
      <c r="T15" s="4">
        <f>R15-S15</f>
        <v>0.56622757885359998</v>
      </c>
      <c r="U15" s="2">
        <v>36220</v>
      </c>
      <c r="V15" s="1" t="s">
        <v>52</v>
      </c>
      <c r="W15" s="1" t="s">
        <v>52</v>
      </c>
      <c r="X15" s="1">
        <v>2.4</v>
      </c>
      <c r="Y15" s="2">
        <v>36796</v>
      </c>
      <c r="Z15" s="5">
        <v>2.9226871399999999</v>
      </c>
      <c r="AA15" s="1">
        <v>2</v>
      </c>
      <c r="AB15" s="1">
        <f>Z15-AA15</f>
        <v>0.92268713999999985</v>
      </c>
      <c r="AC15" s="2">
        <v>36767</v>
      </c>
      <c r="AD15" s="5">
        <v>0.94399999999999995</v>
      </c>
      <c r="AE15" s="6">
        <v>0.83699999999999997</v>
      </c>
      <c r="AF15" s="7">
        <f>AD15-AE15</f>
        <v>0.10699999999999998</v>
      </c>
      <c r="AG15" s="8">
        <v>36214</v>
      </c>
      <c r="AH15" s="6">
        <v>133.1</v>
      </c>
      <c r="AI15" s="1">
        <v>129.5</v>
      </c>
      <c r="AJ15" s="1">
        <f>AH15-AI15</f>
        <v>3.5999999999999943</v>
      </c>
      <c r="AK15" s="2">
        <v>37197</v>
      </c>
      <c r="AL15" s="1">
        <v>0.20775623268698418</v>
      </c>
      <c r="AM15" s="1">
        <v>0.3</v>
      </c>
      <c r="AN15" s="4">
        <f>AL15-AM15</f>
        <v>-9.2243767313015812E-2</v>
      </c>
      <c r="AO15" s="2">
        <v>36210</v>
      </c>
      <c r="AP15" s="5">
        <v>0.1216545</v>
      </c>
      <c r="AQ15" s="1">
        <v>0.2</v>
      </c>
      <c r="AR15" s="4">
        <f>AP15-AQ15</f>
        <v>-7.8345500000000012E-2</v>
      </c>
      <c r="AS15" s="2">
        <v>36210</v>
      </c>
      <c r="AT15" s="5">
        <v>-13.786</v>
      </c>
      <c r="AU15" s="1">
        <v>-15.8</v>
      </c>
      <c r="AV15" s="4">
        <f>AT15-AU15</f>
        <v>2.0140000000000011</v>
      </c>
      <c r="AW15" s="9">
        <v>36208</v>
      </c>
      <c r="AX15" s="4">
        <v>-2.26353594495089E-2</v>
      </c>
      <c r="AY15" s="6">
        <v>0</v>
      </c>
      <c r="AZ15" s="4">
        <f>AX15-AY15</f>
        <v>-2.26353594495089E-2</v>
      </c>
    </row>
    <row r="16" spans="1:52" s="1" customFormat="1" x14ac:dyDescent="0.2">
      <c r="A16" s="2">
        <v>36224</v>
      </c>
      <c r="B16" s="1">
        <v>275</v>
      </c>
      <c r="C16" s="1">
        <v>245</v>
      </c>
      <c r="D16" s="1">
        <f>B16-C16</f>
        <v>30</v>
      </c>
      <c r="E16" s="2">
        <v>36224</v>
      </c>
      <c r="F16" s="1">
        <v>4.4000000000000004</v>
      </c>
      <c r="G16" s="1">
        <v>4.3</v>
      </c>
      <c r="H16" s="1">
        <f>F16-G16</f>
        <v>0.10000000000000053</v>
      </c>
      <c r="I16" s="2">
        <v>36237</v>
      </c>
      <c r="J16" s="1">
        <v>5.6915196357440384E-2</v>
      </c>
      <c r="K16" s="1">
        <v>0.2</v>
      </c>
      <c r="L16" s="4">
        <f>J16-K16</f>
        <v>-0.14308480364255963</v>
      </c>
      <c r="M16" s="2">
        <v>37099</v>
      </c>
      <c r="N16" s="4">
        <v>0.73478155243573706</v>
      </c>
      <c r="O16" s="1">
        <v>0.7</v>
      </c>
      <c r="P16" s="4">
        <f>N16-O16</f>
        <v>3.4781552435737106E-2</v>
      </c>
      <c r="Q16" s="2">
        <v>37481</v>
      </c>
      <c r="R16" s="4">
        <v>1.17407264553712</v>
      </c>
      <c r="S16" s="1">
        <v>1.2</v>
      </c>
      <c r="T16" s="4">
        <f>R16-S16</f>
        <v>-2.592735446287997E-2</v>
      </c>
      <c r="U16" s="2">
        <v>36251</v>
      </c>
      <c r="V16" s="1" t="s">
        <v>52</v>
      </c>
      <c r="W16" s="1" t="s">
        <v>52</v>
      </c>
      <c r="X16" s="1">
        <v>2.2999999999999998</v>
      </c>
      <c r="Y16" s="2">
        <v>36826</v>
      </c>
      <c r="Z16" s="5">
        <v>1.75542815</v>
      </c>
      <c r="AA16" s="1">
        <v>-0.2</v>
      </c>
      <c r="AB16" s="1">
        <f>Z16-AA16</f>
        <v>1.9554281499999999</v>
      </c>
      <c r="AC16" s="2">
        <v>36802</v>
      </c>
      <c r="AD16" s="5">
        <v>0.89300000000000002</v>
      </c>
      <c r="AE16" s="6">
        <v>0.88900000000000001</v>
      </c>
      <c r="AF16" s="7">
        <f>AD16-AE16</f>
        <v>4.0000000000000036E-3</v>
      </c>
      <c r="AG16" s="8">
        <v>36249</v>
      </c>
      <c r="AH16" s="6">
        <v>134</v>
      </c>
      <c r="AI16" s="1">
        <v>130.5</v>
      </c>
      <c r="AJ16" s="1">
        <f>AH16-AI16</f>
        <v>3.5</v>
      </c>
      <c r="AK16" s="2">
        <v>37232</v>
      </c>
      <c r="AL16" s="1">
        <v>0.34554250172771361</v>
      </c>
      <c r="AM16" s="1">
        <v>0.3</v>
      </c>
      <c r="AN16" s="4">
        <f>AL16-AM16</f>
        <v>4.5542501727713625E-2</v>
      </c>
      <c r="AO16" s="2">
        <v>36237</v>
      </c>
      <c r="AP16" s="5">
        <v>6.0753340000000003E-2</v>
      </c>
      <c r="AQ16" s="1">
        <v>0.1</v>
      </c>
      <c r="AR16" s="4">
        <f>AP16-AQ16</f>
        <v>-3.9246660000000003E-2</v>
      </c>
      <c r="AS16" s="2">
        <v>36237</v>
      </c>
      <c r="AT16" s="5">
        <v>-16.989999999999998</v>
      </c>
      <c r="AU16" s="1">
        <v>-15</v>
      </c>
      <c r="AV16" s="4">
        <f>AT16-AU16</f>
        <v>-1.9899999999999984</v>
      </c>
      <c r="AW16" s="9">
        <v>36235</v>
      </c>
      <c r="AX16" s="4">
        <v>0.154847871408272</v>
      </c>
      <c r="AY16" s="6">
        <v>0</v>
      </c>
      <c r="AZ16" s="4">
        <f>AX16-AY16</f>
        <v>0.154847871408272</v>
      </c>
    </row>
    <row r="17" spans="1:52" s="1" customFormat="1" x14ac:dyDescent="0.2">
      <c r="A17" s="2">
        <v>36252</v>
      </c>
      <c r="B17" s="1">
        <v>46</v>
      </c>
      <c r="C17" s="1">
        <v>200</v>
      </c>
      <c r="D17" s="1">
        <f>B17-C17</f>
        <v>-154</v>
      </c>
      <c r="E17" s="2">
        <v>36252</v>
      </c>
      <c r="F17" s="1">
        <v>4.2</v>
      </c>
      <c r="G17" s="1">
        <v>4.3</v>
      </c>
      <c r="H17" s="1">
        <f>F17-G17</f>
        <v>-9.9999999999999645E-2</v>
      </c>
      <c r="I17" s="2">
        <v>36263</v>
      </c>
      <c r="J17" s="1">
        <v>0.11376564277587521</v>
      </c>
      <c r="K17" s="1">
        <v>0.2</v>
      </c>
      <c r="L17" s="4">
        <f>J17-K17</f>
        <v>-8.62343572241248E-2</v>
      </c>
      <c r="M17" s="2">
        <v>37195</v>
      </c>
      <c r="N17" s="4">
        <v>-0.35492233146204866</v>
      </c>
      <c r="O17" s="1">
        <v>-1</v>
      </c>
      <c r="P17" s="4">
        <f>N17-O17</f>
        <v>0.64507766853795134</v>
      </c>
      <c r="Q17" s="2">
        <v>37512</v>
      </c>
      <c r="R17" s="4">
        <v>0.75349271843062904</v>
      </c>
      <c r="S17" s="1">
        <v>0.3</v>
      </c>
      <c r="T17" s="4">
        <f>R17-S17</f>
        <v>0.45349271843062905</v>
      </c>
      <c r="U17" s="2">
        <v>36283</v>
      </c>
      <c r="V17" s="1" t="s">
        <v>52</v>
      </c>
      <c r="W17" s="1" t="s">
        <v>52</v>
      </c>
      <c r="X17" s="1">
        <v>-1.7</v>
      </c>
      <c r="Y17" s="2">
        <v>36858</v>
      </c>
      <c r="Z17" s="5">
        <v>-5.4548826999999998</v>
      </c>
      <c r="AA17" s="1">
        <v>-2.1</v>
      </c>
      <c r="AB17" s="1">
        <f>Z17-AA17</f>
        <v>-3.3548826999999997</v>
      </c>
      <c r="AC17" s="2">
        <v>36830</v>
      </c>
      <c r="AD17" s="5">
        <v>0.94599999999999995</v>
      </c>
      <c r="AE17" s="6">
        <v>0.88700000000000001</v>
      </c>
      <c r="AF17" s="7">
        <f>AD17-AE17</f>
        <v>5.8999999999999941E-2</v>
      </c>
      <c r="AG17" s="8">
        <v>36277</v>
      </c>
      <c r="AH17" s="6">
        <v>135.5</v>
      </c>
      <c r="AI17" s="1">
        <v>132.5</v>
      </c>
      <c r="AJ17" s="1">
        <f>AH17-AI17</f>
        <v>3</v>
      </c>
      <c r="AK17" s="2">
        <v>37260</v>
      </c>
      <c r="AL17" s="1">
        <v>0.61983471074380514</v>
      </c>
      <c r="AM17" s="1">
        <v>0.3</v>
      </c>
      <c r="AN17" s="4">
        <f>AL17-AM17</f>
        <v>0.31983471074380515</v>
      </c>
      <c r="AO17" s="2">
        <v>36263</v>
      </c>
      <c r="AP17" s="5">
        <v>0.18214936000000001</v>
      </c>
      <c r="AQ17" s="1">
        <v>0.3</v>
      </c>
      <c r="AR17" s="4">
        <f>AP17-AQ17</f>
        <v>-0.11785063999999998</v>
      </c>
      <c r="AS17" s="2">
        <v>36270</v>
      </c>
      <c r="AT17" s="5">
        <v>-19.437999999999999</v>
      </c>
      <c r="AU17" s="1">
        <v>-16.7</v>
      </c>
      <c r="AV17" s="4">
        <f>AT17-AU17</f>
        <v>-2.7379999999999995</v>
      </c>
      <c r="AW17" s="9">
        <v>36266</v>
      </c>
      <c r="AX17" s="4">
        <v>0.10934318678831199</v>
      </c>
      <c r="AY17" s="6">
        <v>0.1</v>
      </c>
      <c r="AZ17" s="4">
        <f>AX17-AY17</f>
        <v>9.3431867883119885E-3</v>
      </c>
    </row>
    <row r="18" spans="1:52" s="1" customFormat="1" x14ac:dyDescent="0.2">
      <c r="A18" s="2">
        <v>36287</v>
      </c>
      <c r="B18" s="1">
        <v>234</v>
      </c>
      <c r="C18" s="1">
        <v>225</v>
      </c>
      <c r="D18" s="1">
        <f>B18-C18</f>
        <v>9</v>
      </c>
      <c r="E18" s="2">
        <v>36287</v>
      </c>
      <c r="F18" s="1">
        <v>4.3</v>
      </c>
      <c r="G18" s="1">
        <v>4.2</v>
      </c>
      <c r="H18" s="1">
        <f>F18-G18</f>
        <v>9.9999999999999645E-2</v>
      </c>
      <c r="I18" s="2">
        <v>36294</v>
      </c>
      <c r="J18" s="1">
        <v>0.39772727272726627</v>
      </c>
      <c r="K18" s="1">
        <v>0.2</v>
      </c>
      <c r="L18" s="4">
        <f>J18-K18</f>
        <v>0.19772727272726626</v>
      </c>
      <c r="M18" s="2">
        <v>37286</v>
      </c>
      <c r="N18" s="4">
        <v>0.22359331676145011</v>
      </c>
      <c r="O18" s="1">
        <v>-0.9</v>
      </c>
      <c r="P18" s="4">
        <f>N18-O18</f>
        <v>1.12359331676145</v>
      </c>
      <c r="Q18" s="2">
        <v>37540</v>
      </c>
      <c r="R18" s="4">
        <v>-1.1659025778602601</v>
      </c>
      <c r="S18" s="1">
        <v>-0.9</v>
      </c>
      <c r="T18" s="4">
        <f>R18-S18</f>
        <v>-0.26590257786026006</v>
      </c>
      <c r="U18" s="2">
        <v>36312</v>
      </c>
      <c r="V18" s="1" t="s">
        <v>52</v>
      </c>
      <c r="W18" s="1" t="s">
        <v>52</v>
      </c>
      <c r="X18" s="1">
        <v>1.2</v>
      </c>
      <c r="Y18" s="2">
        <v>36882</v>
      </c>
      <c r="Z18" s="5">
        <v>2.29324876</v>
      </c>
      <c r="AA18" s="1">
        <v>1.8</v>
      </c>
      <c r="AB18" s="1">
        <f>Z18-AA18</f>
        <v>0.49324875999999995</v>
      </c>
      <c r="AC18" s="2">
        <v>36864</v>
      </c>
      <c r="AD18" s="5">
        <v>0.92800000000000005</v>
      </c>
      <c r="AE18" s="6">
        <v>0.9</v>
      </c>
      <c r="AF18" s="7">
        <f>AD18-AE18</f>
        <v>2.8000000000000025E-2</v>
      </c>
      <c r="AG18" s="8">
        <v>36305</v>
      </c>
      <c r="AH18" s="6">
        <v>137.69999999999999</v>
      </c>
      <c r="AI18" s="1">
        <v>134</v>
      </c>
      <c r="AJ18" s="1">
        <f>AH18-AI18</f>
        <v>3.6999999999999886</v>
      </c>
      <c r="AK18" s="2">
        <v>37288</v>
      </c>
      <c r="AL18" s="1">
        <v>-0.13689253935660339</v>
      </c>
      <c r="AM18" s="1">
        <v>0.2</v>
      </c>
      <c r="AN18" s="4">
        <f>AL18-AM18</f>
        <v>-0.3368925393566034</v>
      </c>
      <c r="AO18" s="2">
        <v>36294</v>
      </c>
      <c r="AP18" s="5">
        <v>0.72727273000000003</v>
      </c>
      <c r="AQ18" s="1">
        <v>0.4</v>
      </c>
      <c r="AR18" s="4">
        <f>AP18-AQ18</f>
        <v>0.32727273000000001</v>
      </c>
      <c r="AS18" s="2">
        <v>36300</v>
      </c>
      <c r="AT18" s="5">
        <v>-19.698</v>
      </c>
      <c r="AU18" s="1">
        <v>-18.100000000000001</v>
      </c>
      <c r="AV18" s="4">
        <f>AT18-AU18</f>
        <v>-1.597999999999999</v>
      </c>
      <c r="AW18" s="9">
        <v>36294</v>
      </c>
      <c r="AX18" s="4">
        <v>0.58715761653052201</v>
      </c>
      <c r="AY18" s="6">
        <v>0.3</v>
      </c>
      <c r="AZ18" s="4">
        <f>AX18-AY18</f>
        <v>0.28715761653052202</v>
      </c>
    </row>
    <row r="19" spans="1:52" s="1" customFormat="1" x14ac:dyDescent="0.2">
      <c r="A19" s="2">
        <v>36315</v>
      </c>
      <c r="B19" s="1">
        <v>11</v>
      </c>
      <c r="C19" s="1">
        <v>225</v>
      </c>
      <c r="D19" s="1">
        <f>B19-C19</f>
        <v>-214</v>
      </c>
      <c r="E19" s="2">
        <v>36315</v>
      </c>
      <c r="F19" s="1">
        <v>4.2</v>
      </c>
      <c r="G19" s="1">
        <v>4.3</v>
      </c>
      <c r="H19" s="1">
        <f>F19-G19</f>
        <v>-9.9999999999999645E-2</v>
      </c>
      <c r="I19" s="2">
        <v>36327</v>
      </c>
      <c r="J19" s="1">
        <v>0.11318619128467293</v>
      </c>
      <c r="K19" s="1">
        <v>0.2</v>
      </c>
      <c r="L19" s="4">
        <f>J19-K19</f>
        <v>-8.6813808715327082E-2</v>
      </c>
      <c r="M19" s="2">
        <v>37372</v>
      </c>
      <c r="N19" s="4">
        <v>5.8356089159422808</v>
      </c>
      <c r="O19" s="1">
        <v>5</v>
      </c>
      <c r="P19" s="4">
        <f>N19-O19</f>
        <v>0.83560891594228082</v>
      </c>
      <c r="Q19" s="2">
        <v>37574</v>
      </c>
      <c r="R19" s="4">
        <v>3.3820413603763998E-2</v>
      </c>
      <c r="S19" s="1">
        <v>-0.3</v>
      </c>
      <c r="T19" s="4">
        <f>R19-S19</f>
        <v>0.33382041360376397</v>
      </c>
      <c r="U19" s="2">
        <v>36342</v>
      </c>
      <c r="V19" s="1" t="s">
        <v>52</v>
      </c>
      <c r="W19" s="1" t="s">
        <v>52</v>
      </c>
      <c r="X19" s="1">
        <v>2.2000000000000002</v>
      </c>
      <c r="Y19" s="2">
        <v>36917</v>
      </c>
      <c r="Z19" s="5">
        <v>2.1972153300000001</v>
      </c>
      <c r="AA19" s="1">
        <v>-2</v>
      </c>
      <c r="AB19" s="1">
        <f>Z19-AA19</f>
        <v>4.1972153300000006</v>
      </c>
      <c r="AC19" s="2">
        <v>36896</v>
      </c>
      <c r="AD19" s="5">
        <v>0.90900000000000003</v>
      </c>
      <c r="AE19" s="6">
        <v>0.91500000000000004</v>
      </c>
      <c r="AF19" s="7">
        <f>AD19-AE19</f>
        <v>-6.0000000000000053E-3</v>
      </c>
      <c r="AG19" s="8">
        <v>36340</v>
      </c>
      <c r="AH19" s="6">
        <v>139</v>
      </c>
      <c r="AI19" s="1">
        <v>136.5</v>
      </c>
      <c r="AJ19" s="1">
        <f>AH19-AI19</f>
        <v>2.5</v>
      </c>
      <c r="AK19" s="2">
        <v>37323</v>
      </c>
      <c r="AL19" s="1">
        <v>0.27416038382455099</v>
      </c>
      <c r="AM19" s="1">
        <v>0.3</v>
      </c>
      <c r="AN19" s="4">
        <f>AL19-AM19</f>
        <v>-2.5839616175448998E-2</v>
      </c>
      <c r="AO19" s="2">
        <v>36327</v>
      </c>
      <c r="AP19" s="5">
        <v>0</v>
      </c>
      <c r="AQ19" s="1">
        <v>0.2</v>
      </c>
      <c r="AR19" s="4">
        <f>AP19-AQ19</f>
        <v>-0.2</v>
      </c>
      <c r="AS19" s="2">
        <v>36328</v>
      </c>
      <c r="AT19" s="5">
        <v>-18.939</v>
      </c>
      <c r="AU19" s="1">
        <v>-19.399999999999999</v>
      </c>
      <c r="AV19" s="4">
        <f>AT19-AU19</f>
        <v>0.46099999999999852</v>
      </c>
      <c r="AW19" s="9">
        <v>36327</v>
      </c>
      <c r="AX19" s="4">
        <v>0.206949622335628</v>
      </c>
      <c r="AY19" s="6">
        <v>0.3</v>
      </c>
      <c r="AZ19" s="4">
        <f>AX19-AY19</f>
        <v>-9.3050377664371992E-2</v>
      </c>
    </row>
    <row r="20" spans="1:52" s="1" customFormat="1" x14ac:dyDescent="0.2">
      <c r="A20" s="2">
        <v>36343</v>
      </c>
      <c r="B20" s="1">
        <v>268</v>
      </c>
      <c r="C20" s="1">
        <v>223</v>
      </c>
      <c r="D20" s="1">
        <f>B20-C20</f>
        <v>45</v>
      </c>
      <c r="E20" s="2">
        <v>36343</v>
      </c>
      <c r="F20" s="1">
        <v>4.3</v>
      </c>
      <c r="G20" s="1">
        <v>4.2</v>
      </c>
      <c r="H20" s="1">
        <f>F20-G20</f>
        <v>9.9999999999999645E-2</v>
      </c>
      <c r="I20" s="2">
        <v>36356</v>
      </c>
      <c r="J20" s="1">
        <v>5.6529112492930647E-2</v>
      </c>
      <c r="K20" s="1">
        <v>0.2</v>
      </c>
      <c r="L20" s="4">
        <f>J20-K20</f>
        <v>-0.14347088750706938</v>
      </c>
      <c r="M20" s="2">
        <v>37468</v>
      </c>
      <c r="N20" s="4">
        <v>1.0593775384006854</v>
      </c>
      <c r="O20" s="1">
        <v>2.2000000000000002</v>
      </c>
      <c r="P20" s="4">
        <f>N20-O20</f>
        <v>-1.1406224615993148</v>
      </c>
      <c r="Q20" s="2">
        <v>37602</v>
      </c>
      <c r="R20" s="4">
        <v>0.367592171746494</v>
      </c>
      <c r="S20" s="1">
        <v>0.4</v>
      </c>
      <c r="T20" s="4">
        <f>R20-S20</f>
        <v>-3.2407828253506021E-2</v>
      </c>
      <c r="U20" s="2">
        <v>36374</v>
      </c>
      <c r="V20" s="1" t="s">
        <v>52</v>
      </c>
      <c r="W20" s="1" t="s">
        <v>52</v>
      </c>
      <c r="X20" s="1">
        <v>-2.6</v>
      </c>
      <c r="Y20" s="2">
        <v>36949</v>
      </c>
      <c r="Z20" s="5">
        <v>-6.0043084000000002</v>
      </c>
      <c r="AA20" s="1">
        <v>-2.9</v>
      </c>
      <c r="AB20" s="1">
        <f>Z20-AA20</f>
        <v>-3.1043084000000003</v>
      </c>
      <c r="AC20" s="2">
        <v>36922</v>
      </c>
      <c r="AD20" s="5">
        <v>0.97499999999999998</v>
      </c>
      <c r="AE20" s="6">
        <v>0.89100000000000001</v>
      </c>
      <c r="AF20" s="7">
        <f>AD20-AE20</f>
        <v>8.3999999999999964E-2</v>
      </c>
      <c r="AG20" s="8">
        <v>36368</v>
      </c>
      <c r="AH20" s="6">
        <v>136.19999999999999</v>
      </c>
      <c r="AI20" s="1">
        <v>137.80000000000001</v>
      </c>
      <c r="AJ20" s="1">
        <f>AH20-AI20</f>
        <v>-1.6000000000000227</v>
      </c>
      <c r="AK20" s="2">
        <v>37351</v>
      </c>
      <c r="AL20" s="1">
        <v>0.27341079972658111</v>
      </c>
      <c r="AM20" s="1">
        <v>0.3</v>
      </c>
      <c r="AN20" s="4">
        <f>AL20-AM20</f>
        <v>-2.6589200273418878E-2</v>
      </c>
      <c r="AO20" s="2">
        <v>36356</v>
      </c>
      <c r="AP20" s="5">
        <v>0</v>
      </c>
      <c r="AQ20" s="1">
        <v>0.1</v>
      </c>
      <c r="AR20" s="4">
        <f>AP20-AQ20</f>
        <v>-0.1</v>
      </c>
      <c r="AS20" s="2">
        <v>36361</v>
      </c>
      <c r="AT20" s="5">
        <v>-21.335000000000001</v>
      </c>
      <c r="AU20" s="1">
        <v>-19</v>
      </c>
      <c r="AV20" s="4">
        <f>AT20-AU20</f>
        <v>-2.3350000000000009</v>
      </c>
      <c r="AW20" s="9">
        <v>36357</v>
      </c>
      <c r="AX20" s="4">
        <v>0.15226153157188199</v>
      </c>
      <c r="AY20" s="6">
        <v>0.2</v>
      </c>
      <c r="AZ20" s="4">
        <f>AX20-AY20</f>
        <v>-4.7738468428118019E-2</v>
      </c>
    </row>
    <row r="21" spans="1:52" s="1" customFormat="1" x14ac:dyDescent="0.2">
      <c r="A21" s="2">
        <v>36378</v>
      </c>
      <c r="B21" s="1">
        <v>310</v>
      </c>
      <c r="C21" s="1">
        <v>205</v>
      </c>
      <c r="D21" s="1">
        <f>B21-C21</f>
        <v>105</v>
      </c>
      <c r="E21" s="2">
        <v>36378</v>
      </c>
      <c r="F21" s="1">
        <v>4.3</v>
      </c>
      <c r="G21" s="1">
        <v>4.2</v>
      </c>
      <c r="H21" s="1">
        <f>F21-G21</f>
        <v>9.9999999999999645E-2</v>
      </c>
      <c r="I21" s="2">
        <v>36389</v>
      </c>
      <c r="J21" s="1">
        <v>0.16949152542373522</v>
      </c>
      <c r="K21" s="1">
        <v>0.2</v>
      </c>
      <c r="L21" s="4">
        <f>J21-K21</f>
        <v>-3.0508474576264794E-2</v>
      </c>
      <c r="M21" s="2">
        <v>37560</v>
      </c>
      <c r="N21" s="4">
        <v>3.1366119658184699</v>
      </c>
      <c r="O21" s="1">
        <v>3.7</v>
      </c>
      <c r="P21" s="4">
        <f>N21-O21</f>
        <v>-0.56338803418153027</v>
      </c>
      <c r="Q21" s="2">
        <v>37635</v>
      </c>
      <c r="R21" s="4">
        <v>1.2399818539240799</v>
      </c>
      <c r="S21" s="1">
        <v>1.3</v>
      </c>
      <c r="T21" s="4">
        <f>R21-S21</f>
        <v>-6.0018146075920153E-2</v>
      </c>
      <c r="U21" s="2">
        <v>36404</v>
      </c>
      <c r="V21" s="1" t="s">
        <v>52</v>
      </c>
      <c r="W21" s="1" t="s">
        <v>52</v>
      </c>
      <c r="X21" s="1">
        <v>-0.5</v>
      </c>
      <c r="Y21" s="2">
        <v>36977</v>
      </c>
      <c r="Z21" s="5">
        <v>-0.19490150000000001</v>
      </c>
      <c r="AA21" s="1">
        <v>-0.3</v>
      </c>
      <c r="AB21" s="1">
        <f>Z21-AA21</f>
        <v>0.10509849999999998</v>
      </c>
      <c r="AC21" s="2">
        <v>36949</v>
      </c>
      <c r="AD21" s="5">
        <v>0.92100000000000004</v>
      </c>
      <c r="AE21" s="6">
        <v>0.97499999999999998</v>
      </c>
      <c r="AF21" s="7">
        <f>AD21-AE21</f>
        <v>-5.3999999999999937E-2</v>
      </c>
      <c r="AG21" s="8">
        <v>36403</v>
      </c>
      <c r="AH21" s="6">
        <v>136</v>
      </c>
      <c r="AI21" s="1">
        <v>134</v>
      </c>
      <c r="AJ21" s="1">
        <f>AH21-AI21</f>
        <v>2</v>
      </c>
      <c r="AK21" s="2">
        <v>37379</v>
      </c>
      <c r="AL21" s="1">
        <v>0.13633265167007913</v>
      </c>
      <c r="AM21" s="1">
        <v>0.3</v>
      </c>
      <c r="AN21" s="4">
        <f>AL21-AM21</f>
        <v>-0.16366734832992086</v>
      </c>
      <c r="AO21" s="2">
        <v>36389</v>
      </c>
      <c r="AP21" s="5">
        <v>0.30084235999999998</v>
      </c>
      <c r="AQ21" s="1">
        <v>0.3</v>
      </c>
      <c r="AR21" s="4">
        <f>AP21-AQ21</f>
        <v>8.4235999999998645E-4</v>
      </c>
      <c r="AS21" s="2">
        <v>36391</v>
      </c>
      <c r="AT21" s="5">
        <v>-24.622</v>
      </c>
      <c r="AU21" s="1">
        <v>-20.5</v>
      </c>
      <c r="AV21" s="4">
        <f>AT21-AU21</f>
        <v>-4.1219999999999999</v>
      </c>
      <c r="AW21" s="9">
        <v>36389</v>
      </c>
      <c r="AX21" s="4">
        <v>0.70790920878104602</v>
      </c>
      <c r="AY21" s="6">
        <v>0.8</v>
      </c>
      <c r="AZ21" s="4">
        <f>AX21-AY21</f>
        <v>-9.2090791218954027E-2</v>
      </c>
    </row>
    <row r="22" spans="1:52" s="1" customFormat="1" x14ac:dyDescent="0.2">
      <c r="A22" s="2">
        <v>36406</v>
      </c>
      <c r="B22" s="1">
        <v>124</v>
      </c>
      <c r="C22" s="1">
        <v>210</v>
      </c>
      <c r="D22" s="1">
        <f>B22-C22</f>
        <v>-86</v>
      </c>
      <c r="E22" s="2">
        <v>36406</v>
      </c>
      <c r="F22" s="1">
        <v>4.2</v>
      </c>
      <c r="G22" s="1">
        <v>4.2</v>
      </c>
      <c r="H22" s="1">
        <f>F22-G22</f>
        <v>0</v>
      </c>
      <c r="I22" s="2">
        <v>36418</v>
      </c>
      <c r="J22" s="1">
        <v>0.11280315848843124</v>
      </c>
      <c r="K22" s="1">
        <v>0.2</v>
      </c>
      <c r="L22" s="4">
        <f>J22-K22</f>
        <v>-8.7196841511568771E-2</v>
      </c>
      <c r="M22" s="2">
        <v>37651</v>
      </c>
      <c r="N22" s="4">
        <v>0.74424577641218903</v>
      </c>
      <c r="O22" s="1">
        <v>0.7</v>
      </c>
      <c r="P22" s="4">
        <f>N22-O22</f>
        <v>4.4245776412189075E-2</v>
      </c>
      <c r="Q22" s="2">
        <v>37665</v>
      </c>
      <c r="R22" s="4">
        <v>-0.93196403988961196</v>
      </c>
      <c r="S22" s="1">
        <v>-0.5</v>
      </c>
      <c r="T22" s="4">
        <f>R22-S22</f>
        <v>-0.43196403988961196</v>
      </c>
      <c r="U22" s="2">
        <v>36434</v>
      </c>
      <c r="V22" s="1" t="s">
        <v>52</v>
      </c>
      <c r="W22" s="1" t="s">
        <v>52</v>
      </c>
      <c r="X22" s="1">
        <v>3.3</v>
      </c>
      <c r="Y22" s="2">
        <v>37006</v>
      </c>
      <c r="Z22" s="5">
        <v>3.0417964400000002</v>
      </c>
      <c r="AA22" s="1">
        <v>0.5</v>
      </c>
      <c r="AB22" s="1">
        <f>Z22-AA22</f>
        <v>2.5417964400000002</v>
      </c>
      <c r="AC22" s="2">
        <v>36976</v>
      </c>
      <c r="AD22" s="5">
        <v>0.91100000000000003</v>
      </c>
      <c r="AE22" s="6">
        <v>0.91100000000000003</v>
      </c>
      <c r="AF22" s="7">
        <f>AD22-AE22</f>
        <v>0</v>
      </c>
      <c r="AG22" s="8">
        <v>36431</v>
      </c>
      <c r="AH22" s="6">
        <v>134.19999999999999</v>
      </c>
      <c r="AI22" s="1">
        <v>136.6</v>
      </c>
      <c r="AJ22" s="1">
        <f>AH22-AI22</f>
        <v>-2.4000000000000057</v>
      </c>
      <c r="AK22" s="2">
        <v>37414</v>
      </c>
      <c r="AL22" s="1">
        <v>6.8073519400946303E-2</v>
      </c>
      <c r="AM22" s="1">
        <v>0.3</v>
      </c>
      <c r="AN22" s="4">
        <f>AL22-AM22</f>
        <v>-0.23192648059905369</v>
      </c>
      <c r="AO22" s="2">
        <v>36418</v>
      </c>
      <c r="AP22" s="5">
        <v>0.29994000999999998</v>
      </c>
      <c r="AQ22" s="1">
        <v>0.3</v>
      </c>
      <c r="AR22" s="4">
        <f>AP22-AQ22</f>
        <v>-5.9990000000009758E-5</v>
      </c>
      <c r="AS22" s="2">
        <v>36424</v>
      </c>
      <c r="AT22" s="5">
        <v>-25.183</v>
      </c>
      <c r="AU22" s="1">
        <v>-23.8</v>
      </c>
      <c r="AV22" s="4">
        <f>AT22-AU22</f>
        <v>-1.3829999999999991</v>
      </c>
      <c r="AW22" s="9">
        <v>36419</v>
      </c>
      <c r="AX22" s="4">
        <v>0.31582139449567798</v>
      </c>
      <c r="AY22" s="6">
        <v>0</v>
      </c>
      <c r="AZ22" s="4">
        <f>AX22-AY22</f>
        <v>0.31582139449567798</v>
      </c>
    </row>
    <row r="23" spans="1:52" s="1" customFormat="1" x14ac:dyDescent="0.2">
      <c r="A23" s="2">
        <v>36441</v>
      </c>
      <c r="B23" s="1">
        <v>-8</v>
      </c>
      <c r="C23" s="1">
        <v>220</v>
      </c>
      <c r="D23" s="1">
        <f>B23-C23</f>
        <v>-228</v>
      </c>
      <c r="E23" s="2">
        <v>36441</v>
      </c>
      <c r="F23" s="1">
        <v>4.2</v>
      </c>
      <c r="G23" s="1">
        <v>4.2</v>
      </c>
      <c r="H23" s="1">
        <f>F23-G23</f>
        <v>0</v>
      </c>
      <c r="I23" s="2">
        <v>36452</v>
      </c>
      <c r="J23" s="1">
        <v>0.33802816901408134</v>
      </c>
      <c r="K23" s="1">
        <v>0.3</v>
      </c>
      <c r="L23" s="4">
        <f>J23-K23</f>
        <v>3.8028169014081348E-2</v>
      </c>
      <c r="M23" s="2">
        <v>37736</v>
      </c>
      <c r="N23" s="4">
        <v>1.5980236466526909</v>
      </c>
      <c r="O23" s="1">
        <v>2</v>
      </c>
      <c r="P23" s="4">
        <f>N23-O23</f>
        <v>-0.40197635334730908</v>
      </c>
      <c r="Q23" s="2">
        <v>37693</v>
      </c>
      <c r="R23" s="4">
        <v>-1.57783840992727</v>
      </c>
      <c r="S23" s="1">
        <v>-0.5</v>
      </c>
      <c r="T23" s="4">
        <f>R23-S23</f>
        <v>-1.07783840992727</v>
      </c>
      <c r="U23" s="2">
        <v>36465</v>
      </c>
      <c r="V23" s="1" t="s">
        <v>52</v>
      </c>
      <c r="W23" s="1" t="s">
        <v>52</v>
      </c>
      <c r="X23" s="3" t="s">
        <v>52</v>
      </c>
      <c r="Y23" s="2">
        <v>37036</v>
      </c>
      <c r="Z23" s="5">
        <v>-5.0488540999999998</v>
      </c>
      <c r="AA23" s="1">
        <v>-2.1</v>
      </c>
      <c r="AB23" s="1">
        <f>Z23-AA23</f>
        <v>-2.9488540999999997</v>
      </c>
      <c r="AC23" s="2">
        <v>37006</v>
      </c>
      <c r="AD23" s="5">
        <v>1.0209999999999999</v>
      </c>
      <c r="AE23" s="6">
        <v>0.90500000000000003</v>
      </c>
      <c r="AF23" s="7">
        <f>AD23-AE23</f>
        <v>0.11599999999999988</v>
      </c>
      <c r="AG23" s="8">
        <v>36459</v>
      </c>
      <c r="AH23" s="6">
        <v>130.5</v>
      </c>
      <c r="AI23" s="1">
        <v>132.30000000000001</v>
      </c>
      <c r="AJ23" s="1">
        <f>AH23-AI23</f>
        <v>-1.8000000000000114</v>
      </c>
      <c r="AK23" s="2">
        <v>37442</v>
      </c>
      <c r="AL23" s="1">
        <v>0.40816326530612734</v>
      </c>
      <c r="AM23" s="1">
        <v>0.3</v>
      </c>
      <c r="AN23" s="4">
        <f>AL23-AM23</f>
        <v>0.10816326530612735</v>
      </c>
      <c r="AO23" s="2">
        <v>36452</v>
      </c>
      <c r="AP23" s="5">
        <v>0.41866028999999999</v>
      </c>
      <c r="AQ23" s="1">
        <v>0.4</v>
      </c>
      <c r="AR23" s="4">
        <f>AP23-AQ23</f>
        <v>1.8660289999999968E-2</v>
      </c>
      <c r="AS23" s="2">
        <v>36453</v>
      </c>
      <c r="AT23" s="5">
        <v>-24.094999999999999</v>
      </c>
      <c r="AU23" s="1">
        <v>-24.8</v>
      </c>
      <c r="AV23" s="4">
        <f>AT23-AU23</f>
        <v>0.70500000000000185</v>
      </c>
      <c r="AW23" s="9">
        <v>36448</v>
      </c>
      <c r="AX23" s="4">
        <v>-0.32402828420010998</v>
      </c>
      <c r="AY23" s="6">
        <v>0.1</v>
      </c>
      <c r="AZ23" s="4">
        <f>AX23-AY23</f>
        <v>-0.42402828420010996</v>
      </c>
    </row>
    <row r="24" spans="1:52" s="1" customFormat="1" x14ac:dyDescent="0.2">
      <c r="A24" s="2">
        <v>36469</v>
      </c>
      <c r="B24" s="1">
        <v>310</v>
      </c>
      <c r="C24" s="1">
        <v>303</v>
      </c>
      <c r="D24" s="1">
        <f>B24-C24</f>
        <v>7</v>
      </c>
      <c r="E24" s="2">
        <v>36469</v>
      </c>
      <c r="F24" s="1">
        <v>4.0999999999999996</v>
      </c>
      <c r="G24" s="3" t="s">
        <v>52</v>
      </c>
      <c r="H24" s="1" t="s">
        <v>52</v>
      </c>
      <c r="I24" s="2">
        <v>36481</v>
      </c>
      <c r="J24" s="1">
        <v>0.16844469399214565</v>
      </c>
      <c r="K24" s="1">
        <v>0.2</v>
      </c>
      <c r="L24" s="4">
        <f>J24-K24</f>
        <v>-3.1555306007854361E-2</v>
      </c>
      <c r="M24" s="2">
        <v>37833</v>
      </c>
      <c r="N24" s="4">
        <v>2.3700234757839889</v>
      </c>
      <c r="O24" s="1">
        <v>1.4</v>
      </c>
      <c r="P24" s="4">
        <f>N24-O24</f>
        <v>0.97002347578398895</v>
      </c>
      <c r="Q24" s="2">
        <v>37722</v>
      </c>
      <c r="R24" s="4">
        <v>2.06006192964922</v>
      </c>
      <c r="S24" s="1">
        <v>0.7</v>
      </c>
      <c r="T24" s="4">
        <f>R24-S24</f>
        <v>1.36006192964922</v>
      </c>
      <c r="U24" s="2">
        <v>36495</v>
      </c>
      <c r="V24" s="1" t="s">
        <v>52</v>
      </c>
      <c r="W24" s="1" t="s">
        <v>52</v>
      </c>
      <c r="X24" s="3" t="s">
        <v>52</v>
      </c>
      <c r="Y24" s="2">
        <v>37068</v>
      </c>
      <c r="Z24" s="5">
        <v>2.9051553800000001</v>
      </c>
      <c r="AA24" s="1">
        <v>0.4</v>
      </c>
      <c r="AB24" s="1">
        <f>Z24-AA24</f>
        <v>2.5051553800000002</v>
      </c>
      <c r="AC24" s="2">
        <v>37035</v>
      </c>
      <c r="AD24" s="5">
        <v>0.89400000000000002</v>
      </c>
      <c r="AE24" s="6">
        <v>0.98</v>
      </c>
      <c r="AF24" s="7">
        <f>AD24-AE24</f>
        <v>-8.5999999999999965E-2</v>
      </c>
      <c r="AG24" s="8">
        <v>36494</v>
      </c>
      <c r="AH24" s="6">
        <v>137</v>
      </c>
      <c r="AI24" s="3" t="s">
        <v>52</v>
      </c>
      <c r="AJ24" s="1" t="e">
        <f>AH24-AI24</f>
        <v>#VALUE!</v>
      </c>
      <c r="AK24" s="2">
        <v>37470</v>
      </c>
      <c r="AL24" s="1">
        <v>0.20325203252031798</v>
      </c>
      <c r="AM24" s="1">
        <v>0.2</v>
      </c>
      <c r="AN24" s="4">
        <f>AL24-AM24</f>
        <v>3.2520325203179712E-3</v>
      </c>
      <c r="AO24" s="2">
        <v>36481</v>
      </c>
      <c r="AP24" s="5">
        <v>0.17867778000000001</v>
      </c>
      <c r="AQ24" s="1">
        <v>0.1</v>
      </c>
      <c r="AR24" s="4">
        <f>AP24-AQ24</f>
        <v>7.8677780000000003E-2</v>
      </c>
      <c r="AS24" s="2">
        <v>36482</v>
      </c>
      <c r="AT24" s="5">
        <v>-24.408000000000001</v>
      </c>
      <c r="AU24" s="3" t="s">
        <v>52</v>
      </c>
      <c r="AV24" s="4" t="e">
        <f>AT24-AU24</f>
        <v>#VALUE!</v>
      </c>
      <c r="AW24" s="9">
        <v>36480</v>
      </c>
      <c r="AX24" s="4">
        <v>0.67742961314035699</v>
      </c>
      <c r="AY24" s="6">
        <v>0.3</v>
      </c>
      <c r="AZ24" s="4">
        <f>AX24-AY24</f>
        <v>0.377429613140357</v>
      </c>
    </row>
    <row r="25" spans="1:52" s="1" customFormat="1" x14ac:dyDescent="0.2">
      <c r="A25" s="2">
        <v>36497</v>
      </c>
      <c r="B25" s="1">
        <v>234</v>
      </c>
      <c r="C25" s="1">
        <v>200</v>
      </c>
      <c r="D25" s="1">
        <f>B25-C25</f>
        <v>34</v>
      </c>
      <c r="E25" s="2">
        <v>36497</v>
      </c>
      <c r="F25" s="1">
        <v>4.0999999999999996</v>
      </c>
      <c r="G25" s="3" t="s">
        <v>52</v>
      </c>
      <c r="H25" s="1" t="s">
        <v>52</v>
      </c>
      <c r="I25" s="2">
        <v>36508</v>
      </c>
      <c r="J25" s="1">
        <v>0.22421524663677447</v>
      </c>
      <c r="K25" s="1">
        <v>0.2</v>
      </c>
      <c r="L25" s="4">
        <f>J25-K25</f>
        <v>2.4215246636774462E-2</v>
      </c>
      <c r="M25" s="2">
        <v>37924</v>
      </c>
      <c r="N25" s="4">
        <v>7.1546409859365001</v>
      </c>
      <c r="O25" s="1">
        <v>6</v>
      </c>
      <c r="P25" s="4">
        <f>N25-O25</f>
        <v>1.1546409859365001</v>
      </c>
      <c r="Q25" s="2">
        <v>37755</v>
      </c>
      <c r="R25" s="4">
        <v>-0.115553575866732</v>
      </c>
      <c r="S25" s="1">
        <v>0.3</v>
      </c>
      <c r="T25" s="4">
        <f>R25-S25</f>
        <v>-0.41555357586673197</v>
      </c>
      <c r="U25" s="2">
        <v>36528</v>
      </c>
      <c r="V25" s="1" t="s">
        <v>52</v>
      </c>
      <c r="W25" s="1" t="s">
        <v>52</v>
      </c>
      <c r="X25" s="1">
        <v>-0.5</v>
      </c>
      <c r="Y25" s="2">
        <v>37098</v>
      </c>
      <c r="Z25" s="5">
        <v>-1.9929946999999999</v>
      </c>
      <c r="AA25" s="1">
        <v>-0.9</v>
      </c>
      <c r="AB25" s="1">
        <f>Z25-AA25</f>
        <v>-1.0929946999999998</v>
      </c>
      <c r="AC25" s="2">
        <v>37068</v>
      </c>
      <c r="AD25" s="5">
        <v>0.92800000000000005</v>
      </c>
      <c r="AE25" s="6">
        <v>0.9</v>
      </c>
      <c r="AF25" s="7">
        <f>AD25-AE25</f>
        <v>2.8000000000000025E-2</v>
      </c>
      <c r="AG25" s="8">
        <v>36522</v>
      </c>
      <c r="AH25" s="6">
        <v>141.69999999999999</v>
      </c>
      <c r="AI25" s="1">
        <v>135</v>
      </c>
      <c r="AJ25" s="1">
        <f>AH25-AI25</f>
        <v>6.6999999999999886</v>
      </c>
      <c r="AK25" s="2">
        <v>37505</v>
      </c>
      <c r="AL25" s="1">
        <v>0.20283975659229903</v>
      </c>
      <c r="AM25" s="1">
        <v>0.3</v>
      </c>
      <c r="AN25" s="4">
        <f>AL25-AM25</f>
        <v>-9.7160243407700964E-2</v>
      </c>
      <c r="AO25" s="2">
        <v>36508</v>
      </c>
      <c r="AP25" s="5">
        <v>0.11890605999999999</v>
      </c>
      <c r="AQ25" s="1">
        <v>0.2</v>
      </c>
      <c r="AR25" s="4">
        <f>AP25-AQ25</f>
        <v>-8.1093940000000017E-2</v>
      </c>
      <c r="AS25" s="2">
        <v>36510</v>
      </c>
      <c r="AT25" s="5">
        <v>-25.937000000000001</v>
      </c>
      <c r="AU25" s="1">
        <v>-24.4</v>
      </c>
      <c r="AV25" s="4">
        <f>AT25-AU25</f>
        <v>-1.5370000000000026</v>
      </c>
      <c r="AW25" s="9">
        <v>36509</v>
      </c>
      <c r="AX25" s="4">
        <v>0.29900953092879601</v>
      </c>
      <c r="AY25" s="6">
        <v>0.2</v>
      </c>
      <c r="AZ25" s="4">
        <f>AX25-AY25</f>
        <v>9.9009530928795997E-2</v>
      </c>
    </row>
    <row r="26" spans="1:52" s="1" customFormat="1" x14ac:dyDescent="0.2">
      <c r="A26" s="2">
        <v>36532</v>
      </c>
      <c r="B26" s="1">
        <v>315</v>
      </c>
      <c r="C26" s="1">
        <v>230</v>
      </c>
      <c r="D26" s="1">
        <f>B26-C26</f>
        <v>85</v>
      </c>
      <c r="E26" s="2">
        <v>36532</v>
      </c>
      <c r="F26" s="1">
        <v>4.0999999999999996</v>
      </c>
      <c r="G26" s="1">
        <v>4.0999999999999996</v>
      </c>
      <c r="H26" s="1">
        <f>F26-G26</f>
        <v>0</v>
      </c>
      <c r="I26" s="2">
        <v>36539</v>
      </c>
      <c r="J26" s="1">
        <v>0.11185682326621288</v>
      </c>
      <c r="K26" s="1">
        <v>0.2</v>
      </c>
      <c r="L26" s="4">
        <f>J26-K26</f>
        <v>-8.8143176733787132E-2</v>
      </c>
      <c r="M26" s="2">
        <v>38016</v>
      </c>
      <c r="N26" s="4">
        <v>4.0238404471223399</v>
      </c>
      <c r="O26" s="1">
        <v>4.8</v>
      </c>
      <c r="P26" s="4">
        <f>N26-O26</f>
        <v>-0.77615955287765992</v>
      </c>
      <c r="Q26" s="2">
        <v>37784</v>
      </c>
      <c r="R26" s="4">
        <v>5.0222924983151E-2</v>
      </c>
      <c r="S26" s="1">
        <v>0</v>
      </c>
      <c r="T26" s="4">
        <f>R26-S26</f>
        <v>5.0222924983151E-2</v>
      </c>
      <c r="U26" s="2">
        <v>36557</v>
      </c>
      <c r="V26" s="1" t="s">
        <v>52</v>
      </c>
      <c r="W26" s="1" t="s">
        <v>52</v>
      </c>
      <c r="X26" s="1">
        <v>0</v>
      </c>
      <c r="Y26" s="2">
        <v>37127</v>
      </c>
      <c r="Z26" s="5">
        <v>-0.64354840000000002</v>
      </c>
      <c r="AA26" s="1">
        <v>-0.5</v>
      </c>
      <c r="AB26" s="1">
        <f>Z26-AA26</f>
        <v>-0.14354840000000002</v>
      </c>
      <c r="AC26" s="2">
        <v>37099</v>
      </c>
      <c r="AD26" s="5">
        <v>0.92200000000000004</v>
      </c>
      <c r="AE26" s="6">
        <v>0.92200000000000004</v>
      </c>
      <c r="AF26" s="7">
        <f>AD26-AE26</f>
        <v>0</v>
      </c>
      <c r="AG26" s="8">
        <v>36550</v>
      </c>
      <c r="AH26" s="6">
        <v>144.69999999999999</v>
      </c>
      <c r="AI26" s="1">
        <v>140</v>
      </c>
      <c r="AJ26" s="1">
        <f>AH26-AI26</f>
        <v>4.6999999999999886</v>
      </c>
      <c r="AK26" s="2">
        <v>37533</v>
      </c>
      <c r="AL26" s="1">
        <v>0.33738191632928238</v>
      </c>
      <c r="AM26" s="1">
        <v>0.3</v>
      </c>
      <c r="AN26" s="4">
        <f>AL26-AM26</f>
        <v>3.7381916329282394E-2</v>
      </c>
      <c r="AO26" s="2">
        <v>36539</v>
      </c>
      <c r="AP26" s="5">
        <v>0.23752968999999999</v>
      </c>
      <c r="AQ26" s="1">
        <v>0.3</v>
      </c>
      <c r="AR26" s="4">
        <f>AP26-AQ26</f>
        <v>-6.2470310000000001E-2</v>
      </c>
      <c r="AS26" s="2">
        <v>36545</v>
      </c>
      <c r="AT26" s="5">
        <v>-26.501999999999999</v>
      </c>
      <c r="AU26" s="1">
        <v>-26</v>
      </c>
      <c r="AV26" s="4">
        <f>AT26-AU26</f>
        <v>-0.50199999999999889</v>
      </c>
      <c r="AW26" s="9">
        <v>36539</v>
      </c>
      <c r="AX26" s="4">
        <v>0.40521708057886602</v>
      </c>
      <c r="AY26" s="6">
        <v>0.4</v>
      </c>
      <c r="AZ26" s="4">
        <f>AX26-AY26</f>
        <v>5.2170805788659957E-3</v>
      </c>
    </row>
    <row r="27" spans="1:52" s="1" customFormat="1" x14ac:dyDescent="0.2">
      <c r="A27" s="2">
        <v>36560</v>
      </c>
      <c r="B27" s="1">
        <v>387</v>
      </c>
      <c r="C27" s="1">
        <v>250</v>
      </c>
      <c r="D27" s="1">
        <f>B27-C27</f>
        <v>137</v>
      </c>
      <c r="E27" s="2">
        <v>36560</v>
      </c>
      <c r="F27" s="1">
        <v>4</v>
      </c>
      <c r="G27" s="1">
        <v>4</v>
      </c>
      <c r="H27" s="1">
        <f>F27-G27</f>
        <v>0</v>
      </c>
      <c r="I27" s="2">
        <v>36574</v>
      </c>
      <c r="J27" s="1">
        <v>0.11173184357541266</v>
      </c>
      <c r="K27" s="1">
        <v>0.2</v>
      </c>
      <c r="L27" s="4">
        <f>J27-K27</f>
        <v>-8.8268156424587352E-2</v>
      </c>
      <c r="M27" s="2">
        <v>38106</v>
      </c>
      <c r="N27" s="4">
        <v>4.1575934347976684</v>
      </c>
      <c r="O27" s="1">
        <v>5.2</v>
      </c>
      <c r="P27" s="4">
        <f>N27-O27</f>
        <v>-1.0424065652023318</v>
      </c>
      <c r="Q27" s="2">
        <v>37817</v>
      </c>
      <c r="R27" s="4">
        <v>0.51908268407520297</v>
      </c>
      <c r="S27" s="1">
        <v>0.6</v>
      </c>
      <c r="T27" s="4">
        <f>R27-S27</f>
        <v>-8.0917315924797006E-2</v>
      </c>
      <c r="U27" s="2">
        <v>36586</v>
      </c>
      <c r="V27" s="1" t="s">
        <v>52</v>
      </c>
      <c r="W27" s="1" t="s">
        <v>52</v>
      </c>
      <c r="X27" s="1">
        <v>0.9</v>
      </c>
      <c r="Y27" s="2">
        <v>37161</v>
      </c>
      <c r="Z27" s="5">
        <v>-0.31917180000000001</v>
      </c>
      <c r="AA27" s="1">
        <v>-0.3</v>
      </c>
      <c r="AB27" s="1">
        <f>Z27-AA27</f>
        <v>-1.9171800000000017E-2</v>
      </c>
      <c r="AC27" s="2">
        <v>37127</v>
      </c>
      <c r="AD27" s="5">
        <v>0.95</v>
      </c>
      <c r="AE27" s="6">
        <v>0.91300000000000003</v>
      </c>
      <c r="AF27" s="7">
        <f>AD27-AE27</f>
        <v>3.6999999999999922E-2</v>
      </c>
      <c r="AG27" s="8">
        <v>36585</v>
      </c>
      <c r="AH27" s="6">
        <v>140.80000000000001</v>
      </c>
      <c r="AI27" s="1">
        <v>142.5</v>
      </c>
      <c r="AJ27" s="1">
        <f>AH27-AI27</f>
        <v>-1.6999999999999886</v>
      </c>
      <c r="AK27" s="2">
        <v>37561</v>
      </c>
      <c r="AL27" s="1">
        <v>0.13449899125757003</v>
      </c>
      <c r="AM27" s="1">
        <v>0.3</v>
      </c>
      <c r="AN27" s="4">
        <f>AL27-AM27</f>
        <v>-0.16550100874242996</v>
      </c>
      <c r="AO27" s="2">
        <v>36574</v>
      </c>
      <c r="AP27" s="5">
        <v>0.17772511999999999</v>
      </c>
      <c r="AQ27" s="1">
        <v>0.3</v>
      </c>
      <c r="AR27" s="4">
        <f>AP27-AQ27</f>
        <v>-0.12227488</v>
      </c>
      <c r="AS27" s="2">
        <v>36574</v>
      </c>
      <c r="AT27" s="5">
        <v>-25.547999999999998</v>
      </c>
      <c r="AU27" s="1">
        <v>-26.5</v>
      </c>
      <c r="AV27" s="4">
        <f>AT27-AU27</f>
        <v>0.95200000000000173</v>
      </c>
      <c r="AW27" s="9">
        <v>36571</v>
      </c>
      <c r="AX27" s="4">
        <v>0.97776826178496501</v>
      </c>
      <c r="AY27" s="6">
        <v>0.5</v>
      </c>
      <c r="AZ27" s="4">
        <f>AX27-AY27</f>
        <v>0.47776826178496501</v>
      </c>
    </row>
    <row r="28" spans="1:52" s="1" customFormat="1" x14ac:dyDescent="0.2">
      <c r="A28" s="2">
        <v>36588</v>
      </c>
      <c r="B28" s="1">
        <v>43</v>
      </c>
      <c r="C28" s="1">
        <v>228</v>
      </c>
      <c r="D28" s="1">
        <f>B28-C28</f>
        <v>-185</v>
      </c>
      <c r="E28" s="2">
        <v>36588</v>
      </c>
      <c r="F28" s="1">
        <v>4.0999999999999996</v>
      </c>
      <c r="G28" s="1">
        <v>4</v>
      </c>
      <c r="H28" s="1">
        <f>F28-G28</f>
        <v>9.9999999999999645E-2</v>
      </c>
      <c r="I28" s="2">
        <v>36602</v>
      </c>
      <c r="J28" s="1">
        <v>0.16741071428572063</v>
      </c>
      <c r="K28" s="1">
        <v>0.2</v>
      </c>
      <c r="L28" s="4">
        <f>J28-K28</f>
        <v>-3.2589285714279381E-2</v>
      </c>
      <c r="M28" s="2">
        <v>38198</v>
      </c>
      <c r="N28" s="4">
        <v>3.0441963319423282</v>
      </c>
      <c r="O28" s="1">
        <v>3.8</v>
      </c>
      <c r="P28" s="4">
        <f>N28-O28</f>
        <v>-0.75580366805767163</v>
      </c>
      <c r="Q28" s="2">
        <v>37846</v>
      </c>
      <c r="R28" s="4">
        <v>1.38560821328457</v>
      </c>
      <c r="S28" s="1">
        <v>0.9</v>
      </c>
      <c r="T28" s="4">
        <f>R28-S28</f>
        <v>0.48560821328456993</v>
      </c>
      <c r="U28" s="2">
        <v>36619</v>
      </c>
      <c r="V28" s="1" t="s">
        <v>52</v>
      </c>
      <c r="W28" s="1" t="s">
        <v>52</v>
      </c>
      <c r="X28" s="1">
        <v>-1.2</v>
      </c>
      <c r="Y28" s="2">
        <v>37189</v>
      </c>
      <c r="Z28" s="5">
        <v>-8.4943750999999992</v>
      </c>
      <c r="AA28" s="1">
        <v>-0.9</v>
      </c>
      <c r="AB28" s="1">
        <f>Z28-AA28</f>
        <v>-7.5943750999999988</v>
      </c>
      <c r="AC28" s="2">
        <v>37161</v>
      </c>
      <c r="AD28" s="5">
        <v>0.89800000000000002</v>
      </c>
      <c r="AE28" s="6">
        <v>0.92500000000000004</v>
      </c>
      <c r="AF28" s="7">
        <f>AD28-AE28</f>
        <v>-2.7000000000000024E-2</v>
      </c>
      <c r="AG28" s="8">
        <v>36613</v>
      </c>
      <c r="AH28" s="6">
        <v>137.1</v>
      </c>
      <c r="AI28" s="1">
        <v>140</v>
      </c>
      <c r="AJ28" s="1">
        <f>AH28-AI28</f>
        <v>-2.9000000000000057</v>
      </c>
      <c r="AK28" s="2">
        <v>37596</v>
      </c>
      <c r="AL28" s="1">
        <v>0.2686366689053088</v>
      </c>
      <c r="AM28" s="1">
        <v>0.3</v>
      </c>
      <c r="AN28" s="4">
        <f>AL28-AM28</f>
        <v>-3.1363331094691194E-2</v>
      </c>
      <c r="AO28" s="2">
        <v>36602</v>
      </c>
      <c r="AP28" s="5">
        <v>0.53222944999999999</v>
      </c>
      <c r="AQ28" s="1">
        <v>0.4</v>
      </c>
      <c r="AR28" s="4">
        <f>AP28-AQ28</f>
        <v>0.13222944999999997</v>
      </c>
      <c r="AS28" s="2">
        <v>36606</v>
      </c>
      <c r="AT28" s="5">
        <v>-28.003</v>
      </c>
      <c r="AU28" s="1">
        <v>-26.5</v>
      </c>
      <c r="AV28" s="4">
        <f>AT28-AU28</f>
        <v>-1.5030000000000001</v>
      </c>
      <c r="AW28" s="9">
        <v>36600</v>
      </c>
      <c r="AX28" s="4">
        <v>0.28162850447499999</v>
      </c>
      <c r="AY28" s="6">
        <v>0.5</v>
      </c>
      <c r="AZ28" s="4">
        <f>AX28-AY28</f>
        <v>-0.21837149552500001</v>
      </c>
    </row>
    <row r="29" spans="1:52" s="1" customFormat="1" x14ac:dyDescent="0.2">
      <c r="A29" s="2">
        <v>36623</v>
      </c>
      <c r="B29" s="1">
        <v>416</v>
      </c>
      <c r="C29" s="1">
        <v>400</v>
      </c>
      <c r="D29" s="1">
        <f>B29-C29</f>
        <v>16</v>
      </c>
      <c r="E29" s="2">
        <v>36623</v>
      </c>
      <c r="F29" s="1">
        <v>4.0999999999999996</v>
      </c>
      <c r="G29" s="1">
        <v>4</v>
      </c>
      <c r="H29" s="1">
        <f>F29-G29</f>
        <v>9.9999999999999645E-2</v>
      </c>
      <c r="I29" s="2">
        <v>36630</v>
      </c>
      <c r="J29" s="1">
        <v>0.44568245125348827</v>
      </c>
      <c r="K29" s="1">
        <v>0.2</v>
      </c>
      <c r="L29" s="4">
        <f>J29-K29</f>
        <v>0.24568245125348825</v>
      </c>
      <c r="M29" s="2">
        <v>38289</v>
      </c>
      <c r="N29" s="4">
        <v>3.7113027774849483</v>
      </c>
      <c r="O29" s="1">
        <v>4.4000000000000004</v>
      </c>
      <c r="P29" s="4">
        <f>N29-O29</f>
        <v>-0.68869722251505205</v>
      </c>
      <c r="Q29" s="2">
        <v>37876</v>
      </c>
      <c r="R29" s="4">
        <v>0.61784435365915102</v>
      </c>
      <c r="S29" s="1">
        <v>1.3</v>
      </c>
      <c r="T29" s="4">
        <f>R29-S29</f>
        <v>-0.68215564634084902</v>
      </c>
      <c r="U29" s="2">
        <v>36647</v>
      </c>
      <c r="V29" s="1" t="s">
        <v>52</v>
      </c>
      <c r="W29" s="1" t="s">
        <v>52</v>
      </c>
      <c r="X29" s="1">
        <v>-0.9</v>
      </c>
      <c r="Y29" s="2">
        <v>37224</v>
      </c>
      <c r="Z29" s="5">
        <v>12.766178200000001</v>
      </c>
      <c r="AA29" s="1">
        <v>2</v>
      </c>
      <c r="AB29" s="1">
        <f>Z29-AA29</f>
        <v>10.766178200000001</v>
      </c>
      <c r="AC29" s="2">
        <v>37190</v>
      </c>
      <c r="AD29" s="5">
        <v>0.86399999999999999</v>
      </c>
      <c r="AE29" s="6">
        <v>0.85</v>
      </c>
      <c r="AF29" s="7">
        <f>AD29-AE29</f>
        <v>1.4000000000000012E-2</v>
      </c>
      <c r="AG29" s="8">
        <v>36641</v>
      </c>
      <c r="AH29" s="6">
        <v>137.69999999999999</v>
      </c>
      <c r="AI29" s="1">
        <v>136.5</v>
      </c>
      <c r="AJ29" s="1">
        <f>AH29-AI29</f>
        <v>1.1999999999999886</v>
      </c>
      <c r="AK29" s="2">
        <v>37631</v>
      </c>
      <c r="AL29" s="1">
        <v>0.33489618218351946</v>
      </c>
      <c r="AM29" s="1">
        <v>0.3</v>
      </c>
      <c r="AN29" s="4">
        <f>AL29-AM29</f>
        <v>3.4896182183519475E-2</v>
      </c>
      <c r="AO29" s="2">
        <v>36630</v>
      </c>
      <c r="AP29" s="5">
        <v>0.70588234999999999</v>
      </c>
      <c r="AQ29" s="1">
        <v>0.5</v>
      </c>
      <c r="AR29" s="4">
        <f>AP29-AQ29</f>
        <v>0.20588234999999999</v>
      </c>
      <c r="AS29" s="2">
        <v>36635</v>
      </c>
      <c r="AT29" s="5">
        <v>-29.241</v>
      </c>
      <c r="AU29" s="1">
        <v>-28.9</v>
      </c>
      <c r="AV29" s="4">
        <f>AT29-AU29</f>
        <v>-0.34100000000000108</v>
      </c>
      <c r="AW29" s="9">
        <v>36630</v>
      </c>
      <c r="AX29" s="4">
        <v>0.275371221589094</v>
      </c>
      <c r="AY29" s="6">
        <v>0.3</v>
      </c>
      <c r="AZ29" s="4">
        <f>AX29-AY29</f>
        <v>-2.4628778410905994E-2</v>
      </c>
    </row>
    <row r="30" spans="1:52" s="1" customFormat="1" x14ac:dyDescent="0.2">
      <c r="A30" s="2">
        <v>36651</v>
      </c>
      <c r="B30" s="1">
        <v>340</v>
      </c>
      <c r="C30" s="1">
        <v>315</v>
      </c>
      <c r="D30" s="1">
        <f>B30-C30</f>
        <v>25</v>
      </c>
      <c r="E30" s="2">
        <v>36651</v>
      </c>
      <c r="F30" s="1">
        <v>3.9</v>
      </c>
      <c r="G30" s="1">
        <v>4</v>
      </c>
      <c r="H30" s="1">
        <f>F30-G30</f>
        <v>-0.10000000000000009</v>
      </c>
      <c r="I30" s="2">
        <v>36662</v>
      </c>
      <c r="J30" s="1">
        <v>0.16638935108152131</v>
      </c>
      <c r="K30" s="1">
        <v>0.2</v>
      </c>
      <c r="L30" s="4">
        <f>J30-K30</f>
        <v>-3.3610648918478703E-2</v>
      </c>
      <c r="M30" s="2">
        <v>38380</v>
      </c>
      <c r="N30" s="4">
        <v>3.147303600432938</v>
      </c>
      <c r="O30" s="1">
        <v>3.4</v>
      </c>
      <c r="P30" s="4">
        <f>N30-O30</f>
        <v>-0.25269639956706191</v>
      </c>
      <c r="Q30" s="2">
        <v>37909</v>
      </c>
      <c r="R30" s="4">
        <v>-0.19178082191780799</v>
      </c>
      <c r="S30" s="1">
        <v>-0.2</v>
      </c>
      <c r="T30" s="4">
        <f>R30-S30</f>
        <v>8.2191780821920246E-3</v>
      </c>
      <c r="U30" s="2">
        <v>36678</v>
      </c>
      <c r="V30" s="1" t="s">
        <v>52</v>
      </c>
      <c r="W30" s="1" t="s">
        <v>52</v>
      </c>
      <c r="X30" s="1">
        <v>-2.2999999999999998</v>
      </c>
      <c r="Y30" s="2">
        <v>37253</v>
      </c>
      <c r="Z30" s="5">
        <v>-4.7665021000000003</v>
      </c>
      <c r="AA30" s="1">
        <v>-5</v>
      </c>
      <c r="AB30" s="1">
        <f>Z30-AA30</f>
        <v>0.2334978999999997</v>
      </c>
      <c r="AC30" s="2">
        <v>37224</v>
      </c>
      <c r="AD30" s="5">
        <v>0.88</v>
      </c>
      <c r="AE30" s="6">
        <v>0.85</v>
      </c>
      <c r="AF30" s="7">
        <f>AD30-AE30</f>
        <v>3.0000000000000027E-2</v>
      </c>
      <c r="AG30" s="8">
        <v>36676</v>
      </c>
      <c r="AH30" s="6">
        <v>144.69999999999999</v>
      </c>
      <c r="AI30" s="1">
        <v>136.6</v>
      </c>
      <c r="AJ30" s="1">
        <f>AH30-AI30</f>
        <v>8.0999999999999943</v>
      </c>
      <c r="AK30" s="2">
        <v>37659</v>
      </c>
      <c r="AL30" s="1">
        <v>0</v>
      </c>
      <c r="AM30" s="1">
        <v>0.3</v>
      </c>
      <c r="AN30" s="4">
        <f>AL30-AM30</f>
        <v>-0.3</v>
      </c>
      <c r="AO30" s="2">
        <v>36662</v>
      </c>
      <c r="AP30" s="5">
        <v>0</v>
      </c>
      <c r="AQ30" s="1">
        <v>0</v>
      </c>
      <c r="AR30" s="4">
        <f>AP30-AQ30</f>
        <v>0</v>
      </c>
      <c r="AS30" s="2">
        <v>36665</v>
      </c>
      <c r="AT30" s="5">
        <v>-30.175999999999998</v>
      </c>
      <c r="AU30" s="1">
        <v>-29</v>
      </c>
      <c r="AV30" s="4">
        <f>AT30-AU30</f>
        <v>-1.1759999999999984</v>
      </c>
      <c r="AW30" s="9">
        <v>36661</v>
      </c>
      <c r="AX30" s="4">
        <v>0.89531486995112997</v>
      </c>
      <c r="AY30" s="6">
        <v>0.9</v>
      </c>
      <c r="AZ30" s="4">
        <f>AX30-AY30</f>
        <v>-4.6851300488700565E-3</v>
      </c>
    </row>
    <row r="31" spans="1:52" s="1" customFormat="1" x14ac:dyDescent="0.2">
      <c r="A31" s="2">
        <v>36679</v>
      </c>
      <c r="B31" s="1">
        <v>231</v>
      </c>
      <c r="C31" s="1">
        <v>388</v>
      </c>
      <c r="D31" s="1">
        <f>B31-C31</f>
        <v>-157</v>
      </c>
      <c r="E31" s="2">
        <v>36679</v>
      </c>
      <c r="F31" s="1">
        <v>4.0999999999999996</v>
      </c>
      <c r="G31" s="1">
        <v>3.9</v>
      </c>
      <c r="H31" s="1">
        <f>F31-G31</f>
        <v>0.19999999999999973</v>
      </c>
      <c r="I31" s="2">
        <v>36691</v>
      </c>
      <c r="J31" s="1">
        <v>0.16611295681063754</v>
      </c>
      <c r="K31" s="1">
        <v>0.2</v>
      </c>
      <c r="L31" s="4">
        <f>J31-K31</f>
        <v>-3.3887043189362476E-2</v>
      </c>
      <c r="M31" s="2">
        <v>38470</v>
      </c>
      <c r="N31" s="4">
        <v>3.0876103151600498</v>
      </c>
      <c r="O31" s="1">
        <v>3.7</v>
      </c>
      <c r="P31" s="4">
        <f>N31-O31</f>
        <v>-0.61238968483995038</v>
      </c>
      <c r="Q31" s="2">
        <v>37939</v>
      </c>
      <c r="R31" s="4">
        <v>-0.29677120442777599</v>
      </c>
      <c r="S31" s="1">
        <v>-0.2</v>
      </c>
      <c r="T31" s="4">
        <f>R31-S31</f>
        <v>-9.6771204427775981E-2</v>
      </c>
      <c r="U31" s="2">
        <v>36710</v>
      </c>
      <c r="V31" s="1" t="s">
        <v>52</v>
      </c>
      <c r="W31" s="1" t="s">
        <v>52</v>
      </c>
      <c r="X31" s="1">
        <v>-1.7</v>
      </c>
      <c r="Y31" s="2">
        <v>37285</v>
      </c>
      <c r="Z31" s="5">
        <v>1.95954926</v>
      </c>
      <c r="AA31" s="1">
        <v>1.5</v>
      </c>
      <c r="AB31" s="1">
        <f>Z31-AA31</f>
        <v>0.45954925999999996</v>
      </c>
      <c r="AC31" s="2">
        <v>37253</v>
      </c>
      <c r="AD31" s="5">
        <v>0.93400000000000005</v>
      </c>
      <c r="AE31" s="6">
        <v>0.88500000000000001</v>
      </c>
      <c r="AF31" s="7">
        <f>AD31-AE31</f>
        <v>4.9000000000000044E-2</v>
      </c>
      <c r="AG31" s="8">
        <v>36704</v>
      </c>
      <c r="AH31" s="6">
        <v>139.19999999999999</v>
      </c>
      <c r="AI31" s="1">
        <v>140</v>
      </c>
      <c r="AJ31" s="1">
        <f>AH31-AI31</f>
        <v>-0.80000000000001137</v>
      </c>
      <c r="AK31" s="2">
        <v>37687</v>
      </c>
      <c r="AL31" s="1">
        <v>0.66755674232310547</v>
      </c>
      <c r="AM31" s="1">
        <v>0.3</v>
      </c>
      <c r="AN31" s="4">
        <f>AL31-AM31</f>
        <v>0.36755674232310548</v>
      </c>
      <c r="AO31" s="2">
        <v>36691</v>
      </c>
      <c r="AP31" s="5">
        <v>5.8411209999999998E-2</v>
      </c>
      <c r="AQ31" s="1">
        <v>0.2</v>
      </c>
      <c r="AR31" s="4">
        <f>AP31-AQ31</f>
        <v>-0.14158879000000002</v>
      </c>
      <c r="AS31" s="2">
        <v>36697</v>
      </c>
      <c r="AT31" s="5">
        <v>-30.437999999999999</v>
      </c>
      <c r="AU31" s="1">
        <v>-29.3</v>
      </c>
      <c r="AV31" s="4">
        <f>AT31-AU31</f>
        <v>-1.1379999999999981</v>
      </c>
      <c r="AW31" s="9">
        <v>36692</v>
      </c>
      <c r="AX31" s="4">
        <v>0.37809157754009098</v>
      </c>
      <c r="AY31" s="6">
        <v>-0.3</v>
      </c>
      <c r="AZ31" s="4">
        <f>AX31-AY31</f>
        <v>0.67809157754009097</v>
      </c>
    </row>
    <row r="32" spans="1:52" s="1" customFormat="1" x14ac:dyDescent="0.2">
      <c r="A32" s="2">
        <v>36714</v>
      </c>
      <c r="B32" s="1">
        <v>11</v>
      </c>
      <c r="C32" s="1">
        <v>293</v>
      </c>
      <c r="D32" s="1">
        <f>B32-C32</f>
        <v>-282</v>
      </c>
      <c r="E32" s="2">
        <v>36714</v>
      </c>
      <c r="F32" s="1">
        <v>4</v>
      </c>
      <c r="G32" s="1">
        <v>4</v>
      </c>
      <c r="H32" s="1">
        <f>F32-G32</f>
        <v>0</v>
      </c>
      <c r="I32" s="2">
        <v>36725</v>
      </c>
      <c r="J32" s="1">
        <v>0.16583747927030568</v>
      </c>
      <c r="K32" s="1">
        <v>0.2</v>
      </c>
      <c r="L32" s="4">
        <f>J32-K32</f>
        <v>-3.4162520729694335E-2</v>
      </c>
      <c r="M32" s="2">
        <v>38562</v>
      </c>
      <c r="N32" s="4">
        <v>3.4139803446588513</v>
      </c>
      <c r="O32" s="1">
        <v>3.2</v>
      </c>
      <c r="P32" s="4">
        <f>N32-O32</f>
        <v>0.21398034465885107</v>
      </c>
      <c r="Q32" s="2">
        <v>37966</v>
      </c>
      <c r="R32" s="4">
        <v>0.89547567254573601</v>
      </c>
      <c r="S32" s="1">
        <v>0.6</v>
      </c>
      <c r="T32" s="4">
        <f>R32-S32</f>
        <v>0.29547567254573603</v>
      </c>
      <c r="U32" s="2">
        <v>36739</v>
      </c>
      <c r="V32" s="1" t="s">
        <v>52</v>
      </c>
      <c r="W32" s="1" t="s">
        <v>52</v>
      </c>
      <c r="X32" s="1">
        <v>-0.6</v>
      </c>
      <c r="Y32" s="2">
        <v>37314</v>
      </c>
      <c r="Z32" s="5">
        <v>2.6297236700000002</v>
      </c>
      <c r="AA32" s="1">
        <v>1</v>
      </c>
      <c r="AB32" s="1">
        <f>Z32-AA32</f>
        <v>1.6297236700000002</v>
      </c>
      <c r="AC32" s="2">
        <v>37284</v>
      </c>
      <c r="AD32" s="5">
        <v>0.94599999999999995</v>
      </c>
      <c r="AE32" s="6">
        <v>0.91500000000000004</v>
      </c>
      <c r="AF32" s="7">
        <f>AD32-AE32</f>
        <v>3.0999999999999917E-2</v>
      </c>
      <c r="AG32" s="8">
        <v>36732</v>
      </c>
      <c r="AH32" s="6">
        <v>143</v>
      </c>
      <c r="AI32" s="1">
        <v>138.5</v>
      </c>
      <c r="AJ32" s="1">
        <f>AH32-AI32</f>
        <v>4.5</v>
      </c>
      <c r="AK32" s="2">
        <v>37715</v>
      </c>
      <c r="AL32" s="1">
        <v>0.13262599469496816</v>
      </c>
      <c r="AM32" s="1">
        <v>0.2</v>
      </c>
      <c r="AN32" s="4">
        <f>AL32-AM32</f>
        <v>-6.7374005305031848E-2</v>
      </c>
      <c r="AO32" s="2">
        <v>36725</v>
      </c>
      <c r="AP32" s="5">
        <v>0.58377115999999996</v>
      </c>
      <c r="AQ32" s="1">
        <v>0.5</v>
      </c>
      <c r="AR32" s="4">
        <f>AP32-AQ32</f>
        <v>8.3771159999999956E-2</v>
      </c>
      <c r="AS32" s="2">
        <v>36726</v>
      </c>
      <c r="AT32" s="5">
        <v>-31.036000000000001</v>
      </c>
      <c r="AU32" s="1">
        <v>-30.5</v>
      </c>
      <c r="AV32" s="4">
        <f>AT32-AU32</f>
        <v>-0.53600000000000136</v>
      </c>
      <c r="AW32" s="9">
        <v>36721</v>
      </c>
      <c r="AX32" s="4">
        <v>0.20581407435639501</v>
      </c>
      <c r="AY32" s="6">
        <v>0.3</v>
      </c>
      <c r="AZ32" s="4">
        <f>AX32-AY32</f>
        <v>-9.4185925643604979E-2</v>
      </c>
    </row>
    <row r="33" spans="1:52" s="1" customFormat="1" x14ac:dyDescent="0.2">
      <c r="A33" s="2">
        <v>36742</v>
      </c>
      <c r="B33" s="1">
        <v>-108</v>
      </c>
      <c r="C33" s="1">
        <v>75</v>
      </c>
      <c r="D33" s="1">
        <f>B33-C33</f>
        <v>-183</v>
      </c>
      <c r="E33" s="2">
        <v>36742</v>
      </c>
      <c r="F33" s="1">
        <v>4</v>
      </c>
      <c r="G33" s="1">
        <v>4</v>
      </c>
      <c r="H33" s="1">
        <f>F33-G33</f>
        <v>0</v>
      </c>
      <c r="I33" s="2">
        <v>36754</v>
      </c>
      <c r="J33" s="1">
        <v>0.22075055187638284</v>
      </c>
      <c r="K33" s="1">
        <v>0.2</v>
      </c>
      <c r="L33" s="4">
        <f>J33-K33</f>
        <v>2.0750551876382833E-2</v>
      </c>
      <c r="M33" s="2">
        <v>38653</v>
      </c>
      <c r="N33" s="4">
        <v>3.8045021827588288</v>
      </c>
      <c r="O33" s="1">
        <v>3.7</v>
      </c>
      <c r="P33" s="4">
        <f>N33-O33</f>
        <v>0.10450218275882861</v>
      </c>
      <c r="Q33" s="2">
        <v>38001</v>
      </c>
      <c r="R33" s="4">
        <v>0.46207435842752498</v>
      </c>
      <c r="S33" s="1">
        <v>0.8</v>
      </c>
      <c r="T33" s="4">
        <f>R33-S33</f>
        <v>-0.33792564157247507</v>
      </c>
      <c r="U33" s="2">
        <v>36770</v>
      </c>
      <c r="V33" s="1" t="s">
        <v>52</v>
      </c>
      <c r="W33" s="1" t="s">
        <v>52</v>
      </c>
      <c r="X33" s="1">
        <v>-2.8</v>
      </c>
      <c r="Y33" s="2">
        <v>37341</v>
      </c>
      <c r="Z33" s="5">
        <v>1.53489162</v>
      </c>
      <c r="AA33" s="1">
        <v>1</v>
      </c>
      <c r="AB33" s="1">
        <f>Z33-AA33</f>
        <v>0.53489162000000001</v>
      </c>
      <c r="AC33" s="2">
        <v>37314</v>
      </c>
      <c r="AD33" s="5">
        <v>0.82299999999999995</v>
      </c>
      <c r="AE33" s="6">
        <v>0.92500000000000004</v>
      </c>
      <c r="AF33" s="7">
        <f>AD33-AE33</f>
        <v>-0.10200000000000009</v>
      </c>
      <c r="AG33" s="8">
        <v>36767</v>
      </c>
      <c r="AH33" s="6">
        <v>140.80000000000001</v>
      </c>
      <c r="AI33" s="1">
        <v>141.69999999999999</v>
      </c>
      <c r="AJ33" s="1">
        <f>AH33-AI33</f>
        <v>-0.89999999999997726</v>
      </c>
      <c r="AK33" s="2">
        <v>37743</v>
      </c>
      <c r="AL33" s="1">
        <v>6.6225165562916466E-2</v>
      </c>
      <c r="AM33" s="1">
        <v>0.2</v>
      </c>
      <c r="AN33" s="4">
        <f>AL33-AM33</f>
        <v>-0.13377483443708355</v>
      </c>
      <c r="AO33" s="2">
        <v>36754</v>
      </c>
      <c r="AP33" s="5">
        <v>0.23215321999999999</v>
      </c>
      <c r="AQ33" s="1">
        <v>0.2</v>
      </c>
      <c r="AR33" s="4">
        <f>AP33-AQ33</f>
        <v>3.2153219999999982E-2</v>
      </c>
      <c r="AS33" s="2">
        <v>36756</v>
      </c>
      <c r="AT33" s="5">
        <v>-30.617999999999999</v>
      </c>
      <c r="AU33" s="1">
        <v>-31.4</v>
      </c>
      <c r="AV33" s="4">
        <f>AT33-AU33</f>
        <v>0.78200000000000003</v>
      </c>
      <c r="AW33" s="9">
        <v>36753</v>
      </c>
      <c r="AX33" s="4">
        <v>0.370902460250568</v>
      </c>
      <c r="AY33" s="6">
        <v>0.4</v>
      </c>
      <c r="AZ33" s="4">
        <f>AX33-AY33</f>
        <v>-2.9097539749432022E-2</v>
      </c>
    </row>
    <row r="34" spans="1:52" s="1" customFormat="1" x14ac:dyDescent="0.2">
      <c r="A34" s="2">
        <v>36770</v>
      </c>
      <c r="B34" s="1">
        <v>-105</v>
      </c>
      <c r="C34" s="1">
        <v>-33</v>
      </c>
      <c r="D34" s="1">
        <f>B34-C34</f>
        <v>-72</v>
      </c>
      <c r="E34" s="2">
        <v>36770</v>
      </c>
      <c r="F34" s="1">
        <v>4.0999999999999996</v>
      </c>
      <c r="G34" s="1">
        <v>4</v>
      </c>
      <c r="H34" s="1">
        <f>F34-G34</f>
        <v>9.9999999999999645E-2</v>
      </c>
      <c r="I34" s="2">
        <v>36784</v>
      </c>
      <c r="J34" s="1">
        <v>0.2202643171806199</v>
      </c>
      <c r="K34" s="1">
        <v>0.2</v>
      </c>
      <c r="L34" s="4">
        <f>J34-K34</f>
        <v>2.0264317180619884E-2</v>
      </c>
      <c r="M34" s="2">
        <v>38744</v>
      </c>
      <c r="N34" s="4">
        <v>1.118719793215206</v>
      </c>
      <c r="O34" s="1">
        <v>3</v>
      </c>
      <c r="P34" s="4">
        <f>N34-O34</f>
        <v>-1.881280206784794</v>
      </c>
      <c r="Q34" s="2">
        <v>38029</v>
      </c>
      <c r="R34" s="4">
        <v>-0.25702890648410998</v>
      </c>
      <c r="S34" s="1">
        <v>0.1</v>
      </c>
      <c r="T34" s="4">
        <f>R34-S34</f>
        <v>-0.35702890648411001</v>
      </c>
      <c r="U34" s="2">
        <v>36801</v>
      </c>
      <c r="V34" s="1" t="s">
        <v>52</v>
      </c>
      <c r="W34" s="1" t="s">
        <v>52</v>
      </c>
      <c r="X34" s="1">
        <v>-0.1</v>
      </c>
      <c r="Y34" s="2">
        <v>37370</v>
      </c>
      <c r="Z34" s="5">
        <v>-0.55969400000000002</v>
      </c>
      <c r="AA34" s="1">
        <v>0.5</v>
      </c>
      <c r="AB34" s="1">
        <f>Z34-AA34</f>
        <v>-1.0596939999999999</v>
      </c>
      <c r="AC34" s="2">
        <v>37342</v>
      </c>
      <c r="AD34" s="5">
        <v>0.875</v>
      </c>
      <c r="AE34" s="6">
        <v>0.89</v>
      </c>
      <c r="AF34" s="7">
        <f>AD34-AE34</f>
        <v>-1.5000000000000013E-2</v>
      </c>
      <c r="AG34" s="8">
        <v>36795</v>
      </c>
      <c r="AH34" s="6">
        <v>142.5</v>
      </c>
      <c r="AI34" s="1">
        <v>140.30000000000001</v>
      </c>
      <c r="AJ34" s="1">
        <f>AH34-AI34</f>
        <v>2.1999999999999886</v>
      </c>
      <c r="AK34" s="2">
        <v>37778</v>
      </c>
      <c r="AL34" s="1">
        <v>1.5221707478491053</v>
      </c>
      <c r="AM34" s="1">
        <v>0.2</v>
      </c>
      <c r="AN34" s="4">
        <f>AL34-AM34</f>
        <v>1.3221707478491054</v>
      </c>
      <c r="AO34" s="2">
        <v>36784</v>
      </c>
      <c r="AP34" s="5">
        <v>-5.7903900000000001E-2</v>
      </c>
      <c r="AQ34" s="1">
        <v>0.2</v>
      </c>
      <c r="AR34" s="4">
        <f>AP34-AQ34</f>
        <v>-0.25790390000000002</v>
      </c>
      <c r="AS34" s="2">
        <v>36789</v>
      </c>
      <c r="AT34" s="5">
        <v>-31.891999999999999</v>
      </c>
      <c r="AU34" s="1">
        <v>-31.1</v>
      </c>
      <c r="AV34" s="4">
        <f>AT34-AU34</f>
        <v>-0.79199999999999804</v>
      </c>
      <c r="AW34" s="9">
        <v>36784</v>
      </c>
      <c r="AX34" s="4">
        <v>0.32643054398205101</v>
      </c>
      <c r="AY34" s="6">
        <v>0.1</v>
      </c>
      <c r="AZ34" s="4">
        <f>AX34-AY34</f>
        <v>0.22643054398205101</v>
      </c>
    </row>
    <row r="35" spans="1:52" s="1" customFormat="1" x14ac:dyDescent="0.2">
      <c r="A35" s="2">
        <v>36805</v>
      </c>
      <c r="B35" s="1">
        <v>252</v>
      </c>
      <c r="C35" s="1">
        <v>250</v>
      </c>
      <c r="D35" s="1">
        <f>B35-C35</f>
        <v>2</v>
      </c>
      <c r="E35" s="2">
        <v>36805</v>
      </c>
      <c r="F35" s="1">
        <v>3.9</v>
      </c>
      <c r="G35" s="1">
        <v>4.0999999999999996</v>
      </c>
      <c r="H35" s="1">
        <f>F35-G35</f>
        <v>-0.19999999999999973</v>
      </c>
      <c r="I35" s="2">
        <v>36817</v>
      </c>
      <c r="J35" s="1">
        <v>0.32967032967032656</v>
      </c>
      <c r="K35" s="1">
        <v>0.2</v>
      </c>
      <c r="L35" s="4">
        <f>J35-K35</f>
        <v>0.12967032967032655</v>
      </c>
      <c r="M35" s="2">
        <v>38835</v>
      </c>
      <c r="N35" s="4">
        <v>4.8178348651496838</v>
      </c>
      <c r="O35" s="1">
        <v>4.9000000000000004</v>
      </c>
      <c r="P35" s="4">
        <f>N35-O35</f>
        <v>-8.2165134850316512E-2</v>
      </c>
      <c r="Q35" s="2">
        <v>38057</v>
      </c>
      <c r="R35" s="4">
        <v>0.61073491152646797</v>
      </c>
      <c r="S35" s="1">
        <v>0.5</v>
      </c>
      <c r="T35" s="4">
        <f>R35-S35</f>
        <v>0.11073491152646797</v>
      </c>
      <c r="U35" s="2">
        <v>36831</v>
      </c>
      <c r="V35" s="1" t="s">
        <v>52</v>
      </c>
      <c r="W35" s="1" t="s">
        <v>52</v>
      </c>
      <c r="X35" s="1">
        <v>-1.2</v>
      </c>
      <c r="Y35" s="2">
        <v>37399</v>
      </c>
      <c r="Z35" s="5">
        <v>1.09977558</v>
      </c>
      <c r="AA35" s="1">
        <v>0.4</v>
      </c>
      <c r="AB35" s="1">
        <f>Z35-AA35</f>
        <v>0.69977557999999995</v>
      </c>
      <c r="AC35" s="2">
        <v>37370</v>
      </c>
      <c r="AD35" s="5">
        <v>0.878</v>
      </c>
      <c r="AE35" s="6">
        <v>0.89</v>
      </c>
      <c r="AF35" s="7">
        <f>AD35-AE35</f>
        <v>-1.2000000000000011E-2</v>
      </c>
      <c r="AG35" s="8">
        <v>36830</v>
      </c>
      <c r="AH35" s="6">
        <v>135.80000000000001</v>
      </c>
      <c r="AI35" s="1">
        <v>140</v>
      </c>
      <c r="AJ35" s="1">
        <f>AH35-AI35</f>
        <v>-4.1999999999999886</v>
      </c>
      <c r="AK35" s="2">
        <v>37805</v>
      </c>
      <c r="AL35" s="1">
        <v>0.26075619295959918</v>
      </c>
      <c r="AM35" s="1">
        <v>0.2</v>
      </c>
      <c r="AN35" s="4">
        <f>AL35-AM35</f>
        <v>6.0756192959599165E-2</v>
      </c>
      <c r="AO35" s="2">
        <v>36817</v>
      </c>
      <c r="AP35" s="5">
        <v>0.52113491999999995</v>
      </c>
      <c r="AQ35" s="1">
        <v>0.4</v>
      </c>
      <c r="AR35" s="4">
        <f>AP35-AQ35</f>
        <v>0.12113491999999992</v>
      </c>
      <c r="AS35" s="2">
        <v>36818</v>
      </c>
      <c r="AT35" s="5">
        <v>-29.440999999999999</v>
      </c>
      <c r="AU35" s="1">
        <v>-32</v>
      </c>
      <c r="AV35" s="4">
        <f>AT35-AU35</f>
        <v>2.5590000000000011</v>
      </c>
      <c r="AW35" s="9">
        <v>36816</v>
      </c>
      <c r="AX35" s="4">
        <v>0.24174495906818499</v>
      </c>
      <c r="AY35" s="6">
        <v>-0.1</v>
      </c>
      <c r="AZ35" s="4">
        <f>AX35-AY35</f>
        <v>0.34174495906818503</v>
      </c>
    </row>
    <row r="36" spans="1:52" s="1" customFormat="1" x14ac:dyDescent="0.2">
      <c r="A36" s="2">
        <v>36833</v>
      </c>
      <c r="B36" s="1">
        <v>137</v>
      </c>
      <c r="C36" s="1">
        <v>198</v>
      </c>
      <c r="D36" s="1">
        <f>B36-C36</f>
        <v>-61</v>
      </c>
      <c r="E36" s="2">
        <v>36833</v>
      </c>
      <c r="F36" s="1">
        <v>3.9</v>
      </c>
      <c r="G36" s="1">
        <v>4</v>
      </c>
      <c r="H36" s="1">
        <f>F36-G36</f>
        <v>-0.10000000000000009</v>
      </c>
      <c r="I36" s="2">
        <v>36846</v>
      </c>
      <c r="J36" s="1">
        <v>0.16429353778751993</v>
      </c>
      <c r="K36" s="1">
        <v>0.2</v>
      </c>
      <c r="L36" s="4">
        <f>J36-K36</f>
        <v>-3.5706462212480083E-2</v>
      </c>
      <c r="M36" s="2">
        <v>38926</v>
      </c>
      <c r="N36" s="4">
        <v>2.4577358658914861</v>
      </c>
      <c r="O36" s="1">
        <v>3.1</v>
      </c>
      <c r="P36" s="4">
        <f>N36-O36</f>
        <v>-0.64226413410851402</v>
      </c>
      <c r="Q36" s="2">
        <v>38090</v>
      </c>
      <c r="R36" s="4">
        <v>1.8266990380322701</v>
      </c>
      <c r="S36" s="1">
        <v>0.7</v>
      </c>
      <c r="T36" s="4">
        <f>R36-S36</f>
        <v>1.1266990380322701</v>
      </c>
      <c r="U36" s="2">
        <v>36861</v>
      </c>
      <c r="V36" s="1" t="s">
        <v>52</v>
      </c>
      <c r="W36" s="1" t="s">
        <v>52</v>
      </c>
      <c r="X36" s="1">
        <v>-0.8</v>
      </c>
      <c r="Y36" s="2">
        <v>37433</v>
      </c>
      <c r="Z36" s="5">
        <v>0.56037210999999998</v>
      </c>
      <c r="AA36" s="1">
        <v>0.5</v>
      </c>
      <c r="AB36" s="1">
        <f>Z36-AA36</f>
        <v>6.0372109999999979E-2</v>
      </c>
      <c r="AC36" s="2">
        <v>37400</v>
      </c>
      <c r="AD36" s="5">
        <v>0.91500000000000004</v>
      </c>
      <c r="AE36" s="6">
        <v>0.88</v>
      </c>
      <c r="AF36" s="7">
        <f>AD36-AE36</f>
        <v>3.5000000000000031E-2</v>
      </c>
      <c r="AG36" s="8">
        <v>36858</v>
      </c>
      <c r="AH36" s="6">
        <v>132.6</v>
      </c>
      <c r="AI36" s="1">
        <v>138</v>
      </c>
      <c r="AJ36" s="1">
        <f>AH36-AI36</f>
        <v>-5.4000000000000057</v>
      </c>
      <c r="AK36" s="2">
        <v>37834</v>
      </c>
      <c r="AL36" s="1">
        <v>0.39011703511051543</v>
      </c>
      <c r="AM36" s="1">
        <v>0.2</v>
      </c>
      <c r="AN36" s="4">
        <f>AL36-AM36</f>
        <v>0.19011703511051542</v>
      </c>
      <c r="AO36" s="2">
        <v>36846</v>
      </c>
      <c r="AP36" s="5">
        <v>0.17281105999999999</v>
      </c>
      <c r="AQ36" s="1">
        <v>0.2</v>
      </c>
      <c r="AR36" s="4">
        <f>AP36-AQ36</f>
        <v>-2.7188940000000023E-2</v>
      </c>
      <c r="AS36" s="2">
        <v>36851</v>
      </c>
      <c r="AT36" s="5">
        <v>-34.262999999999998</v>
      </c>
      <c r="AU36" s="1">
        <v>-30.5</v>
      </c>
      <c r="AV36" s="4">
        <f>AT36-AU36</f>
        <v>-3.7629999999999981</v>
      </c>
      <c r="AW36" s="9">
        <v>36845</v>
      </c>
      <c r="AX36" s="4">
        <v>-0.118779438869551</v>
      </c>
      <c r="AY36" s="6">
        <v>0.3</v>
      </c>
      <c r="AZ36" s="4">
        <f>AX36-AY36</f>
        <v>-0.41877943886955099</v>
      </c>
    </row>
    <row r="37" spans="1:52" s="1" customFormat="1" x14ac:dyDescent="0.2">
      <c r="A37" s="2">
        <v>36868</v>
      </c>
      <c r="B37" s="1">
        <v>94</v>
      </c>
      <c r="C37" s="1">
        <v>148</v>
      </c>
      <c r="D37" s="1">
        <f>B37-C37</f>
        <v>-54</v>
      </c>
      <c r="E37" s="2">
        <v>36868</v>
      </c>
      <c r="F37" s="1">
        <v>4</v>
      </c>
      <c r="G37" s="1">
        <v>4</v>
      </c>
      <c r="H37" s="1">
        <f>F37-G37</f>
        <v>0</v>
      </c>
      <c r="I37" s="2">
        <v>36875</v>
      </c>
      <c r="J37" s="1">
        <v>0.27337342810278842</v>
      </c>
      <c r="K37" s="3" t="s">
        <v>52</v>
      </c>
      <c r="L37" s="4" t="e">
        <f>J37-K37</f>
        <v>#VALUE!</v>
      </c>
      <c r="M37" s="2">
        <v>39017</v>
      </c>
      <c r="N37" s="4">
        <v>1.5828822775964424</v>
      </c>
      <c r="O37" s="1">
        <v>2.2000000000000002</v>
      </c>
      <c r="P37" s="4">
        <f>N37-O37</f>
        <v>-0.61711772240355778</v>
      </c>
      <c r="Q37" s="2">
        <v>38120</v>
      </c>
      <c r="R37" s="4">
        <v>-0.46700799942411297</v>
      </c>
      <c r="S37" s="1">
        <v>-0.3</v>
      </c>
      <c r="T37" s="4">
        <f>R37-S37</f>
        <v>-0.16700799942411299</v>
      </c>
      <c r="U37" s="2">
        <v>36893</v>
      </c>
      <c r="V37" s="1" t="s">
        <v>52</v>
      </c>
      <c r="W37" s="1" t="s">
        <v>52</v>
      </c>
      <c r="X37" s="1">
        <v>-3.3</v>
      </c>
      <c r="Y37" s="2">
        <v>37462</v>
      </c>
      <c r="Z37" s="5">
        <v>-3.8499938999999999</v>
      </c>
      <c r="AA37" s="1">
        <v>0.4</v>
      </c>
      <c r="AB37" s="1">
        <f>Z37-AA37</f>
        <v>-4.2499938999999998</v>
      </c>
      <c r="AC37" s="2">
        <v>37433</v>
      </c>
      <c r="AD37" s="5">
        <v>1.028</v>
      </c>
      <c r="AE37" s="6">
        <v>0.92</v>
      </c>
      <c r="AF37" s="7">
        <f>AD37-AE37</f>
        <v>0.10799999999999998</v>
      </c>
      <c r="AG37" s="8">
        <v>36888</v>
      </c>
      <c r="AH37" s="6">
        <v>128.6</v>
      </c>
      <c r="AI37" s="1">
        <v>129.5</v>
      </c>
      <c r="AJ37" s="1">
        <f>AH37-AI37</f>
        <v>-0.90000000000000568</v>
      </c>
      <c r="AK37" s="2">
        <v>37869</v>
      </c>
      <c r="AL37" s="1">
        <v>6.4766839378238572E-2</v>
      </c>
      <c r="AM37" s="1">
        <v>0.3</v>
      </c>
      <c r="AN37" s="4">
        <f>AL37-AM37</f>
        <v>-0.23523316062176142</v>
      </c>
      <c r="AO37" s="2">
        <v>36875</v>
      </c>
      <c r="AP37" s="5">
        <v>0.17251294</v>
      </c>
      <c r="AQ37" s="3" t="s">
        <v>52</v>
      </c>
      <c r="AR37" s="4" t="e">
        <f>AP37-AQ37</f>
        <v>#VALUE!</v>
      </c>
      <c r="AS37" s="2">
        <v>36879</v>
      </c>
      <c r="AT37" s="5">
        <v>-33.183999999999997</v>
      </c>
      <c r="AU37" s="1">
        <v>-33.5</v>
      </c>
      <c r="AV37" s="4">
        <f>AT37-AU37</f>
        <v>0.3160000000000025</v>
      </c>
      <c r="AW37" s="9">
        <v>36875</v>
      </c>
      <c r="AX37" s="4">
        <v>-0.230956185463184</v>
      </c>
      <c r="AY37" s="6" t="s">
        <v>52</v>
      </c>
      <c r="AZ37" s="4" t="e">
        <f>AX37-AY37</f>
        <v>#VALUE!</v>
      </c>
    </row>
    <row r="38" spans="1:52" s="1" customFormat="1" x14ac:dyDescent="0.2">
      <c r="A38" s="2">
        <v>36896</v>
      </c>
      <c r="B38" s="1">
        <v>105</v>
      </c>
      <c r="C38" s="1">
        <v>105</v>
      </c>
      <c r="D38" s="1">
        <f>B38-C38</f>
        <v>0</v>
      </c>
      <c r="E38" s="2">
        <v>36896</v>
      </c>
      <c r="F38" s="1">
        <v>4</v>
      </c>
      <c r="G38" s="1">
        <v>4.0999999999999996</v>
      </c>
      <c r="H38" s="1">
        <f>F38-G38</f>
        <v>-9.9999999999999645E-2</v>
      </c>
      <c r="I38" s="2">
        <v>36908</v>
      </c>
      <c r="J38" s="1">
        <v>5.4525627044707918E-2</v>
      </c>
      <c r="K38" s="1">
        <v>0.2</v>
      </c>
      <c r="L38" s="4">
        <f>J38-K38</f>
        <v>-0.14547437295529209</v>
      </c>
      <c r="M38" s="2">
        <v>39113</v>
      </c>
      <c r="N38" s="4">
        <v>3.4733665654385071</v>
      </c>
      <c r="O38" s="1">
        <v>3.1</v>
      </c>
      <c r="P38" s="4">
        <f>N38-O38</f>
        <v>0.37336656543850699</v>
      </c>
      <c r="Q38" s="2">
        <v>38152</v>
      </c>
      <c r="R38" s="4">
        <v>1.1628572547531</v>
      </c>
      <c r="S38" s="1">
        <v>1</v>
      </c>
      <c r="T38" s="4">
        <f>R38-S38</f>
        <v>0.16285725475309998</v>
      </c>
      <c r="U38" s="2">
        <v>36923</v>
      </c>
      <c r="V38" s="1" t="s">
        <v>52</v>
      </c>
      <c r="W38" s="1" t="s">
        <v>52</v>
      </c>
      <c r="X38" s="1">
        <v>-2.6</v>
      </c>
      <c r="Y38" s="2">
        <v>37495</v>
      </c>
      <c r="Z38" s="5">
        <v>8.7145864100000008</v>
      </c>
      <c r="AA38" s="1">
        <v>1.5</v>
      </c>
      <c r="AB38" s="1">
        <f>Z38-AA38</f>
        <v>7.2145864100000008</v>
      </c>
      <c r="AC38" s="2">
        <v>37462</v>
      </c>
      <c r="AD38" s="5">
        <v>1.0009999999999999</v>
      </c>
      <c r="AE38" s="6">
        <v>0.98</v>
      </c>
      <c r="AF38" s="7">
        <f>AD38-AE38</f>
        <v>2.0999999999999908E-2</v>
      </c>
      <c r="AG38" s="8">
        <v>36921</v>
      </c>
      <c r="AH38" s="6">
        <v>115.7</v>
      </c>
      <c r="AI38" s="1">
        <v>125</v>
      </c>
      <c r="AJ38" s="1">
        <f>AH38-AI38</f>
        <v>-9.2999999999999972</v>
      </c>
      <c r="AK38" s="2">
        <v>37897</v>
      </c>
      <c r="AL38" s="1">
        <v>0</v>
      </c>
      <c r="AM38" s="1">
        <v>0.3</v>
      </c>
      <c r="AN38" s="4">
        <f>AL38-AM38</f>
        <v>-0.3</v>
      </c>
      <c r="AO38" s="2">
        <v>36908</v>
      </c>
      <c r="AP38" s="5">
        <v>0.17221584000000001</v>
      </c>
      <c r="AQ38" s="1">
        <v>0.2</v>
      </c>
      <c r="AR38" s="4">
        <f>AP38-AQ38</f>
        <v>-2.7784160000000002E-2</v>
      </c>
      <c r="AS38" s="2">
        <v>36910</v>
      </c>
      <c r="AT38" s="5">
        <v>-32.994</v>
      </c>
      <c r="AU38" s="1">
        <v>-33</v>
      </c>
      <c r="AV38" s="4">
        <f>AT38-AU38</f>
        <v>6.0000000000002274E-3</v>
      </c>
      <c r="AW38" s="9">
        <v>36908</v>
      </c>
      <c r="AX38" s="4">
        <v>-0.55156862877472002</v>
      </c>
      <c r="AY38" s="6">
        <v>-0.5</v>
      </c>
      <c r="AZ38" s="4">
        <f>AX38-AY38</f>
        <v>-5.1568628774720016E-2</v>
      </c>
    </row>
    <row r="39" spans="1:52" s="1" customFormat="1" x14ac:dyDescent="0.2">
      <c r="A39" s="2">
        <v>36924</v>
      </c>
      <c r="B39" s="1">
        <v>268</v>
      </c>
      <c r="C39" s="1">
        <v>75</v>
      </c>
      <c r="D39" s="1">
        <f>B39-C39</f>
        <v>193</v>
      </c>
      <c r="E39" s="2">
        <v>36924</v>
      </c>
      <c r="F39" s="1">
        <v>4.2</v>
      </c>
      <c r="G39" s="1">
        <v>4.0999999999999996</v>
      </c>
      <c r="H39" s="1">
        <f>F39-G39</f>
        <v>0.10000000000000053</v>
      </c>
      <c r="I39" s="2">
        <v>36943</v>
      </c>
      <c r="J39" s="1">
        <v>0.32697547683923395</v>
      </c>
      <c r="K39" s="1">
        <v>0.2</v>
      </c>
      <c r="L39" s="4">
        <f>J39-K39</f>
        <v>0.12697547683923394</v>
      </c>
      <c r="M39" s="2">
        <v>39199</v>
      </c>
      <c r="N39" s="4">
        <v>1.2601458241661589</v>
      </c>
      <c r="O39" s="1">
        <v>1.9</v>
      </c>
      <c r="P39" s="4">
        <f>N39-O39</f>
        <v>-0.63985417583384097</v>
      </c>
      <c r="Q39" s="2">
        <v>38182</v>
      </c>
      <c r="R39" s="4">
        <v>-1.1437558081349599</v>
      </c>
      <c r="S39" s="1">
        <v>-0.4</v>
      </c>
      <c r="T39" s="4">
        <f>R39-S39</f>
        <v>-0.74375580813495989</v>
      </c>
      <c r="U39" s="2">
        <v>36951</v>
      </c>
      <c r="V39" s="1" t="s">
        <v>52</v>
      </c>
      <c r="W39" s="1" t="s">
        <v>52</v>
      </c>
      <c r="X39" s="1">
        <v>-0.1</v>
      </c>
      <c r="Y39" s="2">
        <v>37525</v>
      </c>
      <c r="Z39" s="5">
        <v>-0.58246799999999999</v>
      </c>
      <c r="AA39" s="1">
        <v>-2.6</v>
      </c>
      <c r="AB39" s="1">
        <f>Z39-AA39</f>
        <v>2.0175320000000001</v>
      </c>
      <c r="AC39" s="2">
        <v>37494</v>
      </c>
      <c r="AD39" s="5">
        <v>1.0169999999999999</v>
      </c>
      <c r="AE39" s="6">
        <v>0.97499999999999998</v>
      </c>
      <c r="AF39" s="7">
        <f>AD39-AE39</f>
        <v>4.1999999999999926E-2</v>
      </c>
      <c r="AG39" s="8">
        <v>36949</v>
      </c>
      <c r="AH39" s="6">
        <v>109.2</v>
      </c>
      <c r="AI39" s="1">
        <v>110.5</v>
      </c>
      <c r="AJ39" s="1">
        <f>AH39-AI39</f>
        <v>-1.2999999999999972</v>
      </c>
      <c r="AK39" s="2">
        <v>37932</v>
      </c>
      <c r="AL39" s="1">
        <v>6.4724919093861466E-2</v>
      </c>
      <c r="AM39" s="1">
        <v>0.2</v>
      </c>
      <c r="AN39" s="4">
        <f>AL39-AM39</f>
        <v>-0.13527508090613855</v>
      </c>
      <c r="AO39" s="2">
        <v>36943</v>
      </c>
      <c r="AP39" s="5">
        <v>0.63001145000000003</v>
      </c>
      <c r="AQ39" s="1">
        <v>0.3</v>
      </c>
      <c r="AR39" s="4">
        <f>AP39-AQ39</f>
        <v>0.33001145000000004</v>
      </c>
      <c r="AS39" s="2">
        <v>36943</v>
      </c>
      <c r="AT39" s="5">
        <v>-32.994</v>
      </c>
      <c r="AU39" s="1">
        <v>-32</v>
      </c>
      <c r="AV39" s="4">
        <f>AT39-AU39</f>
        <v>-0.99399999999999977</v>
      </c>
      <c r="AW39" s="9">
        <v>36938</v>
      </c>
      <c r="AX39" s="4">
        <v>-0.30451826431370299</v>
      </c>
      <c r="AY39" s="6">
        <v>0</v>
      </c>
      <c r="AZ39" s="4">
        <f>AX39-AY39</f>
        <v>-0.30451826431370299</v>
      </c>
    </row>
    <row r="40" spans="1:52" s="1" customFormat="1" x14ac:dyDescent="0.2">
      <c r="A40" s="2">
        <v>36959</v>
      </c>
      <c r="B40" s="1">
        <v>135</v>
      </c>
      <c r="C40" s="1">
        <v>75</v>
      </c>
      <c r="D40" s="1">
        <f>B40-C40</f>
        <v>60</v>
      </c>
      <c r="E40" s="2">
        <v>36959</v>
      </c>
      <c r="F40" s="1">
        <v>4.2</v>
      </c>
      <c r="G40" s="1">
        <v>4.2</v>
      </c>
      <c r="H40" s="1">
        <f>F40-G40</f>
        <v>0</v>
      </c>
      <c r="I40" s="2">
        <v>36971</v>
      </c>
      <c r="J40" s="1">
        <v>0.3259098316132506</v>
      </c>
      <c r="K40" s="1">
        <v>0.2</v>
      </c>
      <c r="L40" s="4">
        <f>J40-K40</f>
        <v>0.12590983161325059</v>
      </c>
      <c r="M40" s="2">
        <v>39290</v>
      </c>
      <c r="N40" s="4">
        <v>3.3822389847223855</v>
      </c>
      <c r="O40" s="1">
        <v>3.2</v>
      </c>
      <c r="P40" s="4">
        <f>N40-O40</f>
        <v>0.18223898472238531</v>
      </c>
      <c r="Q40" s="2">
        <v>38211</v>
      </c>
      <c r="R40" s="4">
        <v>0.68550944931837998</v>
      </c>
      <c r="S40" s="1">
        <v>1</v>
      </c>
      <c r="T40" s="4">
        <f>R40-S40</f>
        <v>-0.31449055068162002</v>
      </c>
      <c r="U40" s="2">
        <v>36983</v>
      </c>
      <c r="V40" s="1" t="s">
        <v>52</v>
      </c>
      <c r="W40" s="1" t="s">
        <v>52</v>
      </c>
      <c r="X40" s="1">
        <v>1.1000000000000001</v>
      </c>
      <c r="Y40" s="2">
        <v>37554</v>
      </c>
      <c r="Z40" s="5">
        <v>-5.8891888999999997</v>
      </c>
      <c r="AA40" s="1">
        <v>-2</v>
      </c>
      <c r="AB40" s="1">
        <f>Z40-AA40</f>
        <v>-3.8891888999999997</v>
      </c>
      <c r="AC40" s="2">
        <v>37525</v>
      </c>
      <c r="AD40" s="5">
        <v>0.996</v>
      </c>
      <c r="AE40" s="6">
        <v>0.98</v>
      </c>
      <c r="AF40" s="7">
        <f>AD40-AE40</f>
        <v>1.6000000000000014E-2</v>
      </c>
      <c r="AG40" s="8">
        <v>36977</v>
      </c>
      <c r="AH40" s="6">
        <v>116.9</v>
      </c>
      <c r="AI40" s="1">
        <v>104.9</v>
      </c>
      <c r="AJ40" s="1">
        <f>AH40-AI40</f>
        <v>12</v>
      </c>
      <c r="AK40" s="2">
        <v>37960</v>
      </c>
      <c r="AL40" s="1">
        <v>0</v>
      </c>
      <c r="AM40" s="1">
        <v>0.3</v>
      </c>
      <c r="AN40" s="4">
        <f>AL40-AM40</f>
        <v>-0.3</v>
      </c>
      <c r="AO40" s="2">
        <v>36971</v>
      </c>
      <c r="AP40" s="5">
        <v>0.28457598000000001</v>
      </c>
      <c r="AQ40" s="1">
        <v>0.2</v>
      </c>
      <c r="AR40" s="4">
        <f>AP40-AQ40</f>
        <v>8.4575979999999995E-2</v>
      </c>
      <c r="AS40" s="2">
        <v>36970</v>
      </c>
      <c r="AT40" s="5">
        <v>-33.262</v>
      </c>
      <c r="AU40" s="1">
        <v>-33.700000000000003</v>
      </c>
      <c r="AV40" s="4">
        <f>AT40-AU40</f>
        <v>0.43800000000000239</v>
      </c>
      <c r="AW40" s="9">
        <v>36966</v>
      </c>
      <c r="AX40" s="4">
        <v>-0.55782590927665698</v>
      </c>
      <c r="AY40" s="6">
        <v>-0.4</v>
      </c>
      <c r="AZ40" s="4">
        <f>AX40-AY40</f>
        <v>-0.15782590927665696</v>
      </c>
    </row>
    <row r="41" spans="1:52" s="1" customFormat="1" x14ac:dyDescent="0.2">
      <c r="A41" s="2">
        <v>36987</v>
      </c>
      <c r="B41" s="1">
        <v>-86</v>
      </c>
      <c r="C41" s="1">
        <v>50</v>
      </c>
      <c r="D41" s="1">
        <f>B41-C41</f>
        <v>-136</v>
      </c>
      <c r="E41" s="2">
        <v>36987</v>
      </c>
      <c r="F41" s="1">
        <v>4.3</v>
      </c>
      <c r="G41" s="1">
        <v>4.3</v>
      </c>
      <c r="H41" s="1">
        <f>F41-G41</f>
        <v>0</v>
      </c>
      <c r="I41" s="2">
        <v>36998</v>
      </c>
      <c r="J41" s="1">
        <v>0.21656740660530899</v>
      </c>
      <c r="K41" s="1">
        <v>0.2</v>
      </c>
      <c r="L41" s="4">
        <f>J41-K41</f>
        <v>1.6567406605308976E-2</v>
      </c>
      <c r="M41" s="2">
        <v>39386</v>
      </c>
      <c r="N41" s="4">
        <v>3.895902294036091</v>
      </c>
      <c r="O41" s="1">
        <v>3</v>
      </c>
      <c r="P41" s="4">
        <f>N41-O41</f>
        <v>0.89590229403609101</v>
      </c>
      <c r="Q41" s="2">
        <v>38244</v>
      </c>
      <c r="R41" s="4">
        <v>-0.26715297631620399</v>
      </c>
      <c r="S41" s="1">
        <v>-0.1</v>
      </c>
      <c r="T41" s="4">
        <f>R41-S41</f>
        <v>-0.16715297631620399</v>
      </c>
      <c r="U41" s="2">
        <v>37012</v>
      </c>
      <c r="V41" s="1" t="s">
        <v>52</v>
      </c>
      <c r="W41" s="1" t="s">
        <v>52</v>
      </c>
      <c r="X41" s="1">
        <v>-0.8</v>
      </c>
      <c r="Y41" s="2">
        <v>37587</v>
      </c>
      <c r="Z41" s="5">
        <v>2.8405529700000001</v>
      </c>
      <c r="AA41" s="1">
        <v>1.3</v>
      </c>
      <c r="AB41" s="1">
        <f>Z41-AA41</f>
        <v>1.54055297</v>
      </c>
      <c r="AC41" s="2">
        <v>37554</v>
      </c>
      <c r="AD41" s="5">
        <v>1.0209999999999999</v>
      </c>
      <c r="AE41" s="6">
        <v>0.98799999999999999</v>
      </c>
      <c r="AF41" s="7">
        <f>AD41-AE41</f>
        <v>3.2999999999999918E-2</v>
      </c>
      <c r="AG41" s="8">
        <v>37005</v>
      </c>
      <c r="AH41" s="6">
        <v>109.9</v>
      </c>
      <c r="AI41" s="1">
        <v>112</v>
      </c>
      <c r="AJ41" s="1">
        <f>AH41-AI41</f>
        <v>-2.0999999999999943</v>
      </c>
      <c r="AK41" s="2">
        <v>37995</v>
      </c>
      <c r="AL41" s="1">
        <v>0.25873221216041742</v>
      </c>
      <c r="AM41" s="1">
        <v>0.2</v>
      </c>
      <c r="AN41" s="4">
        <f>AL41-AM41</f>
        <v>5.8732212160417407E-2</v>
      </c>
      <c r="AO41" s="2">
        <v>36998</v>
      </c>
      <c r="AP41" s="5">
        <v>5.6753690000000002E-2</v>
      </c>
      <c r="AQ41" s="1">
        <v>0.1</v>
      </c>
      <c r="AR41" s="4">
        <f>AP41-AQ41</f>
        <v>-4.3246310000000003E-2</v>
      </c>
      <c r="AS41" s="2">
        <v>36999</v>
      </c>
      <c r="AT41" s="5">
        <v>-26.986999999999998</v>
      </c>
      <c r="AU41" s="1">
        <v>-32.9</v>
      </c>
      <c r="AV41" s="4">
        <f>AT41-AU41</f>
        <v>5.9130000000000003</v>
      </c>
      <c r="AW41" s="9">
        <v>36998</v>
      </c>
      <c r="AX41" s="4">
        <v>0.38105681584539203</v>
      </c>
      <c r="AY41" s="6">
        <v>-0.2</v>
      </c>
      <c r="AZ41" s="4">
        <f>AX41-AY41</f>
        <v>0.58105681584539204</v>
      </c>
    </row>
    <row r="42" spans="1:52" s="1" customFormat="1" x14ac:dyDescent="0.2">
      <c r="A42" s="2">
        <v>37015</v>
      </c>
      <c r="B42" s="1">
        <v>-223</v>
      </c>
      <c r="C42" s="1">
        <v>25</v>
      </c>
      <c r="D42" s="1">
        <f>B42-C42</f>
        <v>-248</v>
      </c>
      <c r="E42" s="2">
        <v>37015</v>
      </c>
      <c r="F42" s="1">
        <v>4.5</v>
      </c>
      <c r="G42" s="1">
        <v>4.4000000000000004</v>
      </c>
      <c r="H42" s="1">
        <f>F42-G42</f>
        <v>9.9999999999999645E-2</v>
      </c>
      <c r="I42" s="2">
        <v>37027</v>
      </c>
      <c r="J42" s="1">
        <v>0.21609940572663733</v>
      </c>
      <c r="K42" s="1">
        <v>0.2</v>
      </c>
      <c r="L42" s="4">
        <f>J42-K42</f>
        <v>1.6099405726637317E-2</v>
      </c>
      <c r="M42" s="2">
        <v>39477</v>
      </c>
      <c r="N42" s="4">
        <v>0.63622055196583815</v>
      </c>
      <c r="O42" s="1">
        <v>1.2</v>
      </c>
      <c r="P42" s="4">
        <f>N42-O42</f>
        <v>-0.5637794480341618</v>
      </c>
      <c r="Q42" s="2">
        <v>38275</v>
      </c>
      <c r="R42" s="4">
        <v>1.4624473025443401</v>
      </c>
      <c r="S42" s="1">
        <v>0.6</v>
      </c>
      <c r="T42" s="4">
        <f>R42-S42</f>
        <v>0.8624473025443401</v>
      </c>
      <c r="U42" s="2">
        <v>37043</v>
      </c>
      <c r="V42" s="1" t="s">
        <v>52</v>
      </c>
      <c r="W42" s="1" t="s">
        <v>52</v>
      </c>
      <c r="X42" s="1">
        <v>-1.4</v>
      </c>
      <c r="Y42" s="2">
        <v>37614</v>
      </c>
      <c r="Z42" s="5">
        <v>-1.3636178999999999</v>
      </c>
      <c r="AA42" s="1">
        <v>0.5</v>
      </c>
      <c r="AB42" s="1">
        <f>Z42-AA42</f>
        <v>-1.8636178999999999</v>
      </c>
      <c r="AC42" s="2">
        <v>37586</v>
      </c>
      <c r="AD42" s="5">
        <v>1.0069999999999999</v>
      </c>
      <c r="AE42" s="6">
        <v>0.98799999999999999</v>
      </c>
      <c r="AF42" s="7">
        <f>AD42-AE42</f>
        <v>1.8999999999999906E-2</v>
      </c>
      <c r="AG42" s="8">
        <v>37040</v>
      </c>
      <c r="AH42" s="6">
        <v>116.1</v>
      </c>
      <c r="AI42" s="1">
        <v>111.3</v>
      </c>
      <c r="AJ42" s="1">
        <f>AH42-AI42</f>
        <v>4.7999999999999972</v>
      </c>
      <c r="AK42" s="2">
        <v>38023</v>
      </c>
      <c r="AL42" s="1">
        <v>-6.4516129032254899E-2</v>
      </c>
      <c r="AM42" s="1">
        <v>0.1</v>
      </c>
      <c r="AN42" s="4">
        <f>AL42-AM42</f>
        <v>-0.1645161290322549</v>
      </c>
      <c r="AO42" s="2">
        <v>37027</v>
      </c>
      <c r="AP42" s="5">
        <v>0.28360749000000002</v>
      </c>
      <c r="AQ42" s="1">
        <v>0.4</v>
      </c>
      <c r="AR42" s="4">
        <f>AP42-AQ42</f>
        <v>-0.11639251</v>
      </c>
      <c r="AS42" s="2">
        <v>37029</v>
      </c>
      <c r="AT42" s="5">
        <v>-31.173999999999999</v>
      </c>
      <c r="AU42" s="1">
        <v>-29.5</v>
      </c>
      <c r="AV42" s="4">
        <f>AT42-AU42</f>
        <v>-1.6739999999999995</v>
      </c>
      <c r="AW42" s="9">
        <v>37025</v>
      </c>
      <c r="AX42" s="4">
        <v>-0.31790157436969402</v>
      </c>
      <c r="AY42" s="6">
        <v>-0.2</v>
      </c>
      <c r="AZ42" s="4">
        <f>AX42-AY42</f>
        <v>-0.11790157436969401</v>
      </c>
    </row>
    <row r="43" spans="1:52" s="1" customFormat="1" x14ac:dyDescent="0.2">
      <c r="A43" s="2">
        <v>37043</v>
      </c>
      <c r="B43" s="1">
        <v>-19</v>
      </c>
      <c r="C43" s="1">
        <v>0</v>
      </c>
      <c r="D43" s="1">
        <f>B43-C43</f>
        <v>-19</v>
      </c>
      <c r="E43" s="2">
        <v>37043</v>
      </c>
      <c r="F43" s="1">
        <v>4.4000000000000004</v>
      </c>
      <c r="G43" s="1">
        <v>4.5999999999999996</v>
      </c>
      <c r="H43" s="1">
        <f>F43-G43</f>
        <v>-0.19999999999999929</v>
      </c>
      <c r="I43" s="2">
        <v>37057</v>
      </c>
      <c r="J43" s="1">
        <v>0.10781671159029037</v>
      </c>
      <c r="K43" s="1">
        <v>0.2</v>
      </c>
      <c r="L43" s="4">
        <f>J43-K43</f>
        <v>-9.2183288409709643E-2</v>
      </c>
      <c r="M43" s="2">
        <v>39568</v>
      </c>
      <c r="N43" s="4">
        <v>0.59744374478087892</v>
      </c>
      <c r="O43" s="1">
        <v>0.3</v>
      </c>
      <c r="P43" s="4">
        <f>N43-O43</f>
        <v>0.29744374478087893</v>
      </c>
      <c r="Q43" s="2">
        <v>38303</v>
      </c>
      <c r="R43" s="4">
        <v>0.20121372588071201</v>
      </c>
      <c r="S43" s="1">
        <v>0</v>
      </c>
      <c r="T43" s="4">
        <f>R43-S43</f>
        <v>0.20121372588071201</v>
      </c>
      <c r="U43" s="2">
        <v>37074</v>
      </c>
      <c r="V43" s="1" t="s">
        <v>52</v>
      </c>
      <c r="W43" s="1" t="s">
        <v>52</v>
      </c>
      <c r="X43" s="1">
        <v>2.4</v>
      </c>
      <c r="Y43" s="2">
        <v>37649</v>
      </c>
      <c r="Z43" s="5">
        <v>0.219222</v>
      </c>
      <c r="AA43" s="1">
        <v>0.9</v>
      </c>
      <c r="AB43" s="1">
        <f>Z43-AA43</f>
        <v>-0.68077799999999999</v>
      </c>
      <c r="AC43" s="2">
        <v>37617</v>
      </c>
      <c r="AD43" s="5">
        <v>1.069</v>
      </c>
      <c r="AE43" s="6">
        <v>1</v>
      </c>
      <c r="AF43" s="7">
        <f>AD43-AE43</f>
        <v>6.899999999999995E-2</v>
      </c>
      <c r="AG43" s="8">
        <v>37068</v>
      </c>
      <c r="AH43" s="6">
        <v>118.9</v>
      </c>
      <c r="AI43" s="1">
        <v>114.3</v>
      </c>
      <c r="AJ43" s="1">
        <f>AH43-AI43</f>
        <v>4.6000000000000085</v>
      </c>
      <c r="AK43" s="2">
        <v>38051</v>
      </c>
      <c r="AL43" s="1">
        <v>0.19367333763717909</v>
      </c>
      <c r="AM43" s="1">
        <v>0.2</v>
      </c>
      <c r="AN43" s="4">
        <f>AL43-AM43</f>
        <v>-6.3266623628209229E-3</v>
      </c>
      <c r="AO43" s="2">
        <v>37057</v>
      </c>
      <c r="AP43" s="5">
        <v>0.39592759999999999</v>
      </c>
      <c r="AQ43" s="1">
        <v>0.4</v>
      </c>
      <c r="AR43" s="4">
        <f>AP43-AQ43</f>
        <v>-4.0724000000000316E-3</v>
      </c>
      <c r="AS43" s="2">
        <v>37063</v>
      </c>
      <c r="AT43" s="5">
        <v>-32.173999999999999</v>
      </c>
      <c r="AU43" s="1">
        <v>-31.5</v>
      </c>
      <c r="AV43" s="4">
        <f>AT43-AU43</f>
        <v>-0.67399999999999949</v>
      </c>
      <c r="AW43" s="9">
        <v>37057</v>
      </c>
      <c r="AX43" s="4">
        <v>-0.76891609870415001</v>
      </c>
      <c r="AY43" s="6">
        <v>-0.4</v>
      </c>
      <c r="AZ43" s="4">
        <f>AX43-AY43</f>
        <v>-0.36891609870414999</v>
      </c>
    </row>
    <row r="44" spans="1:52" s="1" customFormat="1" x14ac:dyDescent="0.2">
      <c r="A44" s="2">
        <v>37078</v>
      </c>
      <c r="B44" s="1">
        <v>-114</v>
      </c>
      <c r="C44" s="1">
        <v>-25</v>
      </c>
      <c r="D44" s="1">
        <f>B44-C44</f>
        <v>-89</v>
      </c>
      <c r="E44" s="2">
        <v>37078</v>
      </c>
      <c r="F44" s="1">
        <v>4.5</v>
      </c>
      <c r="G44" s="1">
        <v>4.5999999999999996</v>
      </c>
      <c r="H44" s="1">
        <f>F44-G44</f>
        <v>-9.9999999999999645E-2</v>
      </c>
      <c r="I44" s="2">
        <v>37090</v>
      </c>
      <c r="J44" s="1">
        <v>0.3231017770597861</v>
      </c>
      <c r="K44" s="1">
        <v>0.2</v>
      </c>
      <c r="L44" s="4">
        <f>J44-K44</f>
        <v>0.12310177705978609</v>
      </c>
      <c r="M44" s="2">
        <v>39660</v>
      </c>
      <c r="N44" s="4">
        <v>1.8885513894914885</v>
      </c>
      <c r="O44" s="1">
        <v>2.4</v>
      </c>
      <c r="P44" s="4">
        <f>N44-O44</f>
        <v>-0.51144861050851143</v>
      </c>
      <c r="Q44" s="2">
        <v>38334</v>
      </c>
      <c r="R44" s="4">
        <v>9.7372398558307094E-2</v>
      </c>
      <c r="S44" s="1">
        <v>0</v>
      </c>
      <c r="T44" s="4">
        <f>R44-S44</f>
        <v>9.7372398558307094E-2</v>
      </c>
      <c r="U44" s="2">
        <v>37104</v>
      </c>
      <c r="V44" s="1" t="s">
        <v>52</v>
      </c>
      <c r="W44" s="1" t="s">
        <v>52</v>
      </c>
      <c r="X44" s="1">
        <v>-0.9</v>
      </c>
      <c r="Y44" s="2">
        <v>37679</v>
      </c>
      <c r="Z44" s="5">
        <v>3.2727702399999998</v>
      </c>
      <c r="AA44" s="1">
        <v>1</v>
      </c>
      <c r="AB44" s="1">
        <f>Z44-AA44</f>
        <v>2.2727702399999998</v>
      </c>
      <c r="AC44" s="2">
        <v>37649</v>
      </c>
      <c r="AD44" s="5">
        <v>1.0820000000000001</v>
      </c>
      <c r="AE44" s="6">
        <v>1.0369999999999999</v>
      </c>
      <c r="AF44" s="7">
        <f>AD44-AE44</f>
        <v>4.5000000000000151E-2</v>
      </c>
      <c r="AG44" s="8">
        <v>37103</v>
      </c>
      <c r="AH44" s="6">
        <v>116.3</v>
      </c>
      <c r="AI44" s="1">
        <v>118.5</v>
      </c>
      <c r="AJ44" s="1">
        <f>AH44-AI44</f>
        <v>-2.2000000000000028</v>
      </c>
      <c r="AK44" s="2">
        <v>38079</v>
      </c>
      <c r="AL44" s="1">
        <v>0.12886597938144284</v>
      </c>
      <c r="AM44" s="1">
        <v>0.2</v>
      </c>
      <c r="AN44" s="4">
        <f>AL44-AM44</f>
        <v>-7.113402061855717E-2</v>
      </c>
      <c r="AO44" s="2">
        <v>37090</v>
      </c>
      <c r="AP44" s="5">
        <v>0.22535210999999999</v>
      </c>
      <c r="AQ44" s="1">
        <v>0.1</v>
      </c>
      <c r="AR44" s="4">
        <f>AP44-AQ44</f>
        <v>0.12535210999999999</v>
      </c>
      <c r="AS44" s="2">
        <v>37091</v>
      </c>
      <c r="AT44" s="5">
        <v>-28.335000000000001</v>
      </c>
      <c r="AU44" s="1">
        <v>-32.299999999999997</v>
      </c>
      <c r="AV44" s="4">
        <f>AT44-AU44</f>
        <v>3.9649999999999963</v>
      </c>
      <c r="AW44" s="9">
        <v>37089</v>
      </c>
      <c r="AX44" s="4">
        <v>-0.68232506272650195</v>
      </c>
      <c r="AY44" s="6">
        <v>-0.5</v>
      </c>
      <c r="AZ44" s="4">
        <f>AX44-AY44</f>
        <v>-0.18232506272650195</v>
      </c>
    </row>
    <row r="45" spans="1:52" s="1" customFormat="1" x14ac:dyDescent="0.2">
      <c r="A45" s="2">
        <v>37106</v>
      </c>
      <c r="B45" s="1">
        <v>-42</v>
      </c>
      <c r="C45" s="1">
        <v>-38</v>
      </c>
      <c r="D45" s="1">
        <f>B45-C45</f>
        <v>-4</v>
      </c>
      <c r="E45" s="2">
        <v>37106</v>
      </c>
      <c r="F45" s="1">
        <v>4.5</v>
      </c>
      <c r="G45" s="1">
        <v>4.7</v>
      </c>
      <c r="H45" s="1">
        <f>F45-G45</f>
        <v>-0.20000000000000018</v>
      </c>
      <c r="I45" s="2">
        <v>37119</v>
      </c>
      <c r="J45" s="1">
        <v>0.16103059581319534</v>
      </c>
      <c r="K45" s="1">
        <v>0.1</v>
      </c>
      <c r="L45" s="4">
        <f>J45-K45</f>
        <v>6.1030595813195337E-2</v>
      </c>
      <c r="M45" s="2">
        <v>39751</v>
      </c>
      <c r="N45" s="4">
        <v>-0.2521615647424591</v>
      </c>
      <c r="O45" s="1">
        <v>-0.5</v>
      </c>
      <c r="P45" s="4">
        <f>N45-O45</f>
        <v>0.2478384352575409</v>
      </c>
      <c r="Q45" s="2">
        <v>38365</v>
      </c>
      <c r="R45" s="4">
        <v>1.2098163987035799</v>
      </c>
      <c r="S45" s="1">
        <v>1</v>
      </c>
      <c r="T45" s="4">
        <f>R45-S45</f>
        <v>0.20981639870357993</v>
      </c>
      <c r="U45" s="2">
        <v>37138</v>
      </c>
      <c r="V45" s="1" t="s">
        <v>52</v>
      </c>
      <c r="W45" s="1" t="s">
        <v>52</v>
      </c>
      <c r="X45" s="1">
        <v>3.9</v>
      </c>
      <c r="Y45" s="2">
        <v>37706</v>
      </c>
      <c r="Z45" s="5">
        <v>-1.2208425000000001</v>
      </c>
      <c r="AA45" s="1">
        <v>-1</v>
      </c>
      <c r="AB45" s="1">
        <f>Z45-AA45</f>
        <v>-0.22084250000000005</v>
      </c>
      <c r="AC45" s="2">
        <v>37679</v>
      </c>
      <c r="AD45" s="5">
        <v>0.91400000000000003</v>
      </c>
      <c r="AE45" s="6">
        <v>1.05</v>
      </c>
      <c r="AF45" s="7">
        <f>AD45-AE45</f>
        <v>-0.13600000000000001</v>
      </c>
      <c r="AG45" s="8">
        <v>37131</v>
      </c>
      <c r="AH45" s="6">
        <v>114</v>
      </c>
      <c r="AI45" s="1">
        <v>117.5</v>
      </c>
      <c r="AJ45" s="1">
        <f>AH45-AI45</f>
        <v>-3.5</v>
      </c>
      <c r="AK45" s="2">
        <v>38114</v>
      </c>
      <c r="AL45" s="1">
        <v>0.32175032175032481</v>
      </c>
      <c r="AM45" s="1">
        <v>0.2</v>
      </c>
      <c r="AN45" s="4">
        <f>AL45-AM45</f>
        <v>0.1217503217503248</v>
      </c>
      <c r="AO45" s="2">
        <v>37119</v>
      </c>
      <c r="AP45" s="5">
        <v>-0.2810568</v>
      </c>
      <c r="AQ45" s="1">
        <v>-0.1</v>
      </c>
      <c r="AR45" s="4">
        <f>AP45-AQ45</f>
        <v>-0.18105679999999999</v>
      </c>
      <c r="AS45" s="2">
        <v>37120</v>
      </c>
      <c r="AT45" s="5">
        <v>-29.408999999999999</v>
      </c>
      <c r="AU45" s="1">
        <v>-29.4</v>
      </c>
      <c r="AV45" s="4">
        <f>AT45-AU45</f>
        <v>-9.0000000000003411E-3</v>
      </c>
      <c r="AW45" s="9">
        <v>37118</v>
      </c>
      <c r="AX45" s="4">
        <v>-8.7428483500496604E-2</v>
      </c>
      <c r="AY45" s="6">
        <v>-0.3</v>
      </c>
      <c r="AZ45" s="4">
        <f>AX45-AY45</f>
        <v>0.2125715164995034</v>
      </c>
    </row>
    <row r="46" spans="1:52" s="1" customFormat="1" x14ac:dyDescent="0.2">
      <c r="A46" s="2">
        <v>37141</v>
      </c>
      <c r="B46" s="1">
        <v>-113</v>
      </c>
      <c r="C46" s="1">
        <v>-43</v>
      </c>
      <c r="D46" s="1">
        <f>B46-C46</f>
        <v>-70</v>
      </c>
      <c r="E46" s="2">
        <v>37141</v>
      </c>
      <c r="F46" s="1">
        <v>4.9000000000000004</v>
      </c>
      <c r="G46" s="1">
        <v>4.5999999999999996</v>
      </c>
      <c r="H46" s="1">
        <f>F46-G46</f>
        <v>0.30000000000000071</v>
      </c>
      <c r="I46" s="2">
        <v>37152</v>
      </c>
      <c r="J46" s="1">
        <v>0.21436227224008877</v>
      </c>
      <c r="K46" s="1">
        <v>0.2</v>
      </c>
      <c r="L46" s="4">
        <f>J46-K46</f>
        <v>1.4362272240088764E-2</v>
      </c>
      <c r="M46" s="2">
        <v>39843</v>
      </c>
      <c r="N46" s="4">
        <v>-3.8036670454245414</v>
      </c>
      <c r="O46" s="1">
        <v>-5.4</v>
      </c>
      <c r="P46" s="4">
        <f>N46-O46</f>
        <v>1.596332954575459</v>
      </c>
      <c r="Q46" s="2">
        <v>38398</v>
      </c>
      <c r="R46" s="4">
        <v>-0.31597026094785302</v>
      </c>
      <c r="S46" s="1">
        <v>-0.4</v>
      </c>
      <c r="T46" s="4">
        <f>R46-S46</f>
        <v>8.4029739052147001E-2</v>
      </c>
      <c r="U46" s="2">
        <v>37165</v>
      </c>
      <c r="V46" s="1" t="s">
        <v>52</v>
      </c>
      <c r="W46" s="1" t="s">
        <v>52</v>
      </c>
      <c r="X46" s="1">
        <v>1</v>
      </c>
      <c r="Y46" s="2">
        <v>37735</v>
      </c>
      <c r="Z46" s="5">
        <v>1.9976615600000001</v>
      </c>
      <c r="AA46" s="1">
        <v>0.1</v>
      </c>
      <c r="AB46" s="1">
        <f>Z46-AA46</f>
        <v>1.89766156</v>
      </c>
      <c r="AC46" s="2">
        <v>37706</v>
      </c>
      <c r="AD46" s="5">
        <v>0.85399999999999998</v>
      </c>
      <c r="AE46" s="6">
        <v>0.92</v>
      </c>
      <c r="AF46" s="7">
        <f>AD46-AE46</f>
        <v>-6.6000000000000059E-2</v>
      </c>
      <c r="AG46" s="8">
        <v>37159</v>
      </c>
      <c r="AH46" s="6">
        <v>97</v>
      </c>
      <c r="AI46" s="1">
        <v>105</v>
      </c>
      <c r="AJ46" s="1">
        <f>AH46-AI46</f>
        <v>-8</v>
      </c>
      <c r="AK46" s="2">
        <v>38142</v>
      </c>
      <c r="AL46" s="1">
        <v>0.3207184092366866</v>
      </c>
      <c r="AM46" s="1">
        <v>0.2</v>
      </c>
      <c r="AN46" s="4">
        <f>AL46-AM46</f>
        <v>0.12071840923668659</v>
      </c>
      <c r="AO46" s="2">
        <v>37152</v>
      </c>
      <c r="AP46" s="5">
        <v>5.6369790000000003E-2</v>
      </c>
      <c r="AQ46" s="1">
        <v>0.2</v>
      </c>
      <c r="AR46" s="4">
        <f>AP46-AQ46</f>
        <v>-0.14363021000000001</v>
      </c>
      <c r="AS46" s="2">
        <v>37153</v>
      </c>
      <c r="AT46" s="5">
        <v>-28.83</v>
      </c>
      <c r="AU46" s="1">
        <v>-29.5</v>
      </c>
      <c r="AV46" s="4">
        <f>AT46-AU46</f>
        <v>0.67000000000000171</v>
      </c>
      <c r="AW46" s="9">
        <v>37148</v>
      </c>
      <c r="AX46" s="4">
        <v>-0.75886688969778104</v>
      </c>
      <c r="AY46" s="6">
        <v>-0.2</v>
      </c>
      <c r="AZ46" s="4">
        <f>AX46-AY46</f>
        <v>-0.55886688969778109</v>
      </c>
    </row>
    <row r="47" spans="1:52" s="1" customFormat="1" x14ac:dyDescent="0.2">
      <c r="A47" s="2">
        <v>37169</v>
      </c>
      <c r="B47" s="1">
        <v>-199</v>
      </c>
      <c r="C47" s="1">
        <v>-100</v>
      </c>
      <c r="D47" s="1">
        <f>B47-C47</f>
        <v>-99</v>
      </c>
      <c r="E47" s="2">
        <v>37169</v>
      </c>
      <c r="F47" s="1">
        <v>4.9000000000000004</v>
      </c>
      <c r="G47" s="1">
        <v>5</v>
      </c>
      <c r="H47" s="1">
        <f>F47-G47</f>
        <v>-9.9999999999999645E-2</v>
      </c>
      <c r="I47" s="2">
        <v>37183</v>
      </c>
      <c r="J47" s="1">
        <v>0.21390374331551107</v>
      </c>
      <c r="K47" s="1">
        <v>0.2</v>
      </c>
      <c r="L47" s="4">
        <f>J47-K47</f>
        <v>1.3903743315511058E-2</v>
      </c>
      <c r="M47" s="2">
        <v>39932</v>
      </c>
      <c r="N47" s="4">
        <v>-6.1436796851858988</v>
      </c>
      <c r="O47" s="1">
        <v>-5</v>
      </c>
      <c r="P47" s="4">
        <f>N47-O47</f>
        <v>-1.1436796851858988</v>
      </c>
      <c r="Q47" s="2">
        <v>38426</v>
      </c>
      <c r="R47" s="4">
        <v>0.504896266507596</v>
      </c>
      <c r="S47" s="1">
        <v>0.6</v>
      </c>
      <c r="T47" s="4">
        <f>R47-S47</f>
        <v>-9.5103733492403975E-2</v>
      </c>
      <c r="U47" s="2">
        <v>37196</v>
      </c>
      <c r="V47" s="1" t="s">
        <v>52</v>
      </c>
      <c r="W47" s="1" t="s">
        <v>52</v>
      </c>
      <c r="X47" s="1">
        <v>-4.7</v>
      </c>
      <c r="Y47" s="2">
        <v>37769</v>
      </c>
      <c r="Z47" s="5">
        <v>-2.4428415999999999</v>
      </c>
      <c r="AA47" s="1">
        <v>-1.5</v>
      </c>
      <c r="AB47" s="1">
        <f>Z47-AA47</f>
        <v>-0.94284159999999995</v>
      </c>
      <c r="AC47" s="2">
        <v>37736</v>
      </c>
      <c r="AD47" s="5">
        <v>1.012</v>
      </c>
      <c r="AE47" s="6">
        <v>0.89</v>
      </c>
      <c r="AF47" s="7">
        <f>AD47-AE47</f>
        <v>0.122</v>
      </c>
      <c r="AG47" s="8">
        <v>37194</v>
      </c>
      <c r="AH47" s="6">
        <v>85.3</v>
      </c>
      <c r="AI47" s="1">
        <v>96</v>
      </c>
      <c r="AJ47" s="1">
        <f>AH47-AI47</f>
        <v>-10.700000000000003</v>
      </c>
      <c r="AK47" s="2">
        <v>38170</v>
      </c>
      <c r="AL47" s="1">
        <v>6.3938618925840629E-2</v>
      </c>
      <c r="AM47" s="1">
        <v>0.3</v>
      </c>
      <c r="AN47" s="4">
        <f>AL47-AM47</f>
        <v>-0.23606138107415936</v>
      </c>
      <c r="AO47" s="2">
        <v>37183</v>
      </c>
      <c r="AP47" s="5">
        <v>0.3943662</v>
      </c>
      <c r="AQ47" s="1">
        <v>0.3</v>
      </c>
      <c r="AR47" s="4">
        <f>AP47-AQ47</f>
        <v>9.4366200000000011E-2</v>
      </c>
      <c r="AS47" s="2">
        <v>37183</v>
      </c>
      <c r="AT47" s="5">
        <v>-27.114000000000001</v>
      </c>
      <c r="AU47" s="1">
        <v>-28.7</v>
      </c>
      <c r="AV47" s="4">
        <f>AT47-AU47</f>
        <v>1.5859999999999985</v>
      </c>
      <c r="AW47" s="9">
        <v>37180</v>
      </c>
      <c r="AX47" s="4">
        <v>-1.02572061458581</v>
      </c>
      <c r="AY47" s="6">
        <v>-0.9</v>
      </c>
      <c r="AZ47" s="4">
        <f>AX47-AY47</f>
        <v>-0.12572061458580996</v>
      </c>
    </row>
    <row r="48" spans="1:52" s="1" customFormat="1" x14ac:dyDescent="0.2">
      <c r="A48" s="2">
        <v>37197</v>
      </c>
      <c r="B48" s="1">
        <v>-415</v>
      </c>
      <c r="C48" s="1">
        <v>-283</v>
      </c>
      <c r="D48" s="1">
        <f>B48-C48</f>
        <v>-132</v>
      </c>
      <c r="E48" s="2">
        <v>37197</v>
      </c>
      <c r="F48" s="1">
        <v>5.4</v>
      </c>
      <c r="G48" s="1">
        <v>5.0999999999999996</v>
      </c>
      <c r="H48" s="1">
        <f>F48-G48</f>
        <v>0.30000000000000071</v>
      </c>
      <c r="I48" s="2">
        <v>37211</v>
      </c>
      <c r="J48" s="1">
        <v>0.16008537886872087</v>
      </c>
      <c r="K48" s="1">
        <v>0.1</v>
      </c>
      <c r="L48" s="4">
        <f>J48-K48</f>
        <v>6.0085378868720868E-2</v>
      </c>
      <c r="M48" s="2">
        <v>40025</v>
      </c>
      <c r="N48" s="4">
        <v>-1.0173406131114948</v>
      </c>
      <c r="O48" s="1">
        <v>2.4</v>
      </c>
      <c r="P48" s="4">
        <f>N48-O48</f>
        <v>-3.4173406131114947</v>
      </c>
      <c r="Q48" s="2">
        <v>38455</v>
      </c>
      <c r="R48" s="4">
        <v>0.26210654468517602</v>
      </c>
      <c r="S48" s="1">
        <v>0.8</v>
      </c>
      <c r="T48" s="4">
        <f>R48-S48</f>
        <v>-0.53789345531482402</v>
      </c>
      <c r="U48" s="2">
        <v>37228</v>
      </c>
      <c r="V48" s="1" t="s">
        <v>52</v>
      </c>
      <c r="W48" s="1" t="s">
        <v>52</v>
      </c>
      <c r="X48" s="1">
        <v>2.5</v>
      </c>
      <c r="Y48" s="2">
        <v>37797</v>
      </c>
      <c r="Z48" s="5">
        <v>-0.32155099999999998</v>
      </c>
      <c r="AA48" s="1">
        <v>1</v>
      </c>
      <c r="AB48" s="1">
        <f>Z48-AA48</f>
        <v>-1.3215509999999999</v>
      </c>
      <c r="AC48" s="2">
        <v>37768</v>
      </c>
      <c r="AD48" s="5">
        <v>1.028</v>
      </c>
      <c r="AE48" s="6">
        <v>0.97499999999999998</v>
      </c>
      <c r="AF48" s="7">
        <f>AD48-AE48</f>
        <v>5.3000000000000047E-2</v>
      </c>
      <c r="AG48" s="8">
        <v>37222</v>
      </c>
      <c r="AH48" s="6">
        <v>84.9</v>
      </c>
      <c r="AI48" s="1">
        <v>86</v>
      </c>
      <c r="AJ48" s="1">
        <f>AH48-AI48</f>
        <v>-1.0999999999999943</v>
      </c>
      <c r="AK48" s="2">
        <v>38205</v>
      </c>
      <c r="AL48" s="1">
        <v>0.31948881789136685</v>
      </c>
      <c r="AM48" s="1">
        <v>0.3</v>
      </c>
      <c r="AN48" s="4">
        <f>AL48-AM48</f>
        <v>1.9488817891366861E-2</v>
      </c>
      <c r="AO48" s="2">
        <v>37211</v>
      </c>
      <c r="AP48" s="5">
        <v>-0.33670030000000001</v>
      </c>
      <c r="AQ48" s="1">
        <v>-0.2</v>
      </c>
      <c r="AR48" s="4">
        <f>AP48-AQ48</f>
        <v>-0.1367003</v>
      </c>
      <c r="AS48" s="2">
        <v>37215</v>
      </c>
      <c r="AT48" s="5">
        <v>-18.692</v>
      </c>
      <c r="AU48" s="1">
        <v>-26.5</v>
      </c>
      <c r="AV48" s="4">
        <f>AT48-AU48</f>
        <v>7.8079999999999998</v>
      </c>
      <c r="AW48" s="9">
        <v>37211</v>
      </c>
      <c r="AX48" s="4">
        <v>-1.0540446477402701</v>
      </c>
      <c r="AY48" s="6">
        <v>-1</v>
      </c>
      <c r="AZ48" s="4">
        <f>AX48-AY48</f>
        <v>-5.4044647740270069E-2</v>
      </c>
    </row>
    <row r="49" spans="1:52" s="1" customFormat="1" x14ac:dyDescent="0.2">
      <c r="A49" s="2">
        <v>37232</v>
      </c>
      <c r="B49" s="1">
        <v>-331</v>
      </c>
      <c r="C49" s="1">
        <v>-200</v>
      </c>
      <c r="D49" s="1">
        <f>B49-C49</f>
        <v>-131</v>
      </c>
      <c r="E49" s="2">
        <v>37232</v>
      </c>
      <c r="F49" s="1">
        <v>5.7</v>
      </c>
      <c r="G49" s="1">
        <v>5.6</v>
      </c>
      <c r="H49" s="1">
        <f>F49-G49</f>
        <v>0.10000000000000053</v>
      </c>
      <c r="I49" s="2">
        <v>37239</v>
      </c>
      <c r="J49" s="1">
        <v>0.37293553542888497</v>
      </c>
      <c r="K49" s="1">
        <v>0.2</v>
      </c>
      <c r="L49" s="4">
        <f>J49-K49</f>
        <v>0.17293553542888496</v>
      </c>
      <c r="M49" s="2">
        <v>40115</v>
      </c>
      <c r="N49" s="4">
        <v>3.5338544720343146</v>
      </c>
      <c r="O49" s="1">
        <v>3.2</v>
      </c>
      <c r="P49" s="4">
        <f>N49-O49</f>
        <v>0.3338544720343144</v>
      </c>
      <c r="Q49" s="2">
        <v>38484</v>
      </c>
      <c r="R49" s="4">
        <v>1.3863289621052399</v>
      </c>
      <c r="S49" s="1">
        <v>0.8</v>
      </c>
      <c r="T49" s="4">
        <f>R49-S49</f>
        <v>0.58632896210523988</v>
      </c>
      <c r="U49" s="2">
        <v>37258</v>
      </c>
      <c r="V49" s="1" t="s">
        <v>52</v>
      </c>
      <c r="W49" s="1" t="s">
        <v>52</v>
      </c>
      <c r="X49" s="1">
        <v>3.2</v>
      </c>
      <c r="Y49" s="2">
        <v>37827</v>
      </c>
      <c r="Z49" s="5">
        <v>2.1302924299999999</v>
      </c>
      <c r="AA49" s="1">
        <v>1.5</v>
      </c>
      <c r="AB49" s="1">
        <f>Z49-AA49</f>
        <v>0.6302924299999999</v>
      </c>
      <c r="AC49" s="2">
        <v>37797</v>
      </c>
      <c r="AD49" s="5">
        <v>1.157</v>
      </c>
      <c r="AE49" s="6">
        <v>1.04</v>
      </c>
      <c r="AF49" s="7">
        <f>AD49-AE49</f>
        <v>0.11699999999999999</v>
      </c>
      <c r="AG49" s="8">
        <v>37252</v>
      </c>
      <c r="AH49" s="6">
        <v>94.6</v>
      </c>
      <c r="AI49" s="1">
        <v>83</v>
      </c>
      <c r="AJ49" s="1">
        <f>AH49-AI49</f>
        <v>11.599999999999994</v>
      </c>
      <c r="AK49" s="2">
        <v>38233</v>
      </c>
      <c r="AL49" s="1">
        <v>0.44585987261147597</v>
      </c>
      <c r="AM49" s="1">
        <v>0.2</v>
      </c>
      <c r="AN49" s="4">
        <f>AL49-AM49</f>
        <v>0.24585987261147596</v>
      </c>
      <c r="AO49" s="2">
        <v>37239</v>
      </c>
      <c r="AP49" s="5">
        <v>0</v>
      </c>
      <c r="AQ49" s="1">
        <v>-0.1</v>
      </c>
      <c r="AR49" s="4">
        <f>AP49-AQ49</f>
        <v>0.1</v>
      </c>
      <c r="AS49" s="2">
        <v>37244</v>
      </c>
      <c r="AT49" s="5">
        <v>-29.433</v>
      </c>
      <c r="AU49" s="1">
        <v>-26.9</v>
      </c>
      <c r="AV49" s="4">
        <f>AT49-AU49</f>
        <v>-2.5330000000000013</v>
      </c>
      <c r="AW49" s="9">
        <v>37239</v>
      </c>
      <c r="AX49" s="4">
        <v>-0.29952526699186299</v>
      </c>
      <c r="AY49" s="6">
        <v>-0.6</v>
      </c>
      <c r="AZ49" s="4">
        <f>AX49-AY49</f>
        <v>0.30047473300813698</v>
      </c>
    </row>
    <row r="50" spans="1:52" s="1" customFormat="1" x14ac:dyDescent="0.2">
      <c r="A50" s="2">
        <v>37260</v>
      </c>
      <c r="B50" s="1">
        <v>-124</v>
      </c>
      <c r="C50" s="1">
        <v>-175</v>
      </c>
      <c r="D50" s="1">
        <f>B50-C50</f>
        <v>51</v>
      </c>
      <c r="E50" s="2">
        <v>37260</v>
      </c>
      <c r="F50" s="1">
        <v>5.8</v>
      </c>
      <c r="G50" s="1">
        <v>5.8</v>
      </c>
      <c r="H50" s="1">
        <f>F50-G50</f>
        <v>0</v>
      </c>
      <c r="I50" s="2">
        <v>37272</v>
      </c>
      <c r="J50" s="1">
        <v>0.10615711252653325</v>
      </c>
      <c r="K50" s="1">
        <v>0</v>
      </c>
      <c r="L50" s="4">
        <f>J50-K50</f>
        <v>0.10615711252653325</v>
      </c>
      <c r="M50" s="2">
        <v>40207</v>
      </c>
      <c r="N50" s="4">
        <v>5.7308533351730695</v>
      </c>
      <c r="O50" s="1">
        <v>4.5</v>
      </c>
      <c r="P50" s="4">
        <f>N50-O50</f>
        <v>1.2308533351730695</v>
      </c>
      <c r="Q50" s="2">
        <v>38517</v>
      </c>
      <c r="R50" s="4">
        <v>-0.49690304309678301</v>
      </c>
      <c r="S50" s="1">
        <v>-0.2</v>
      </c>
      <c r="T50" s="4">
        <f>R50-S50</f>
        <v>-0.296903043096783</v>
      </c>
      <c r="U50" s="2">
        <v>37288</v>
      </c>
      <c r="V50" s="1" t="s">
        <v>52</v>
      </c>
      <c r="W50" s="1" t="s">
        <v>52</v>
      </c>
      <c r="X50" s="1">
        <v>0.4</v>
      </c>
      <c r="Y50" s="2">
        <v>37859</v>
      </c>
      <c r="Z50" s="5">
        <v>0.96391554999999995</v>
      </c>
      <c r="AA50" s="1">
        <v>1</v>
      </c>
      <c r="AB50" s="1">
        <f>Z50-AA50</f>
        <v>-3.6084450000000046E-2</v>
      </c>
      <c r="AC50" s="2">
        <v>37827</v>
      </c>
      <c r="AD50" s="5">
        <v>1.1599999999999999</v>
      </c>
      <c r="AE50" s="6">
        <v>1.1000000000000001</v>
      </c>
      <c r="AF50" s="7">
        <f>AD50-AE50</f>
        <v>5.9999999999999831E-2</v>
      </c>
      <c r="AG50" s="8">
        <v>37285</v>
      </c>
      <c r="AH50" s="6">
        <v>97.8</v>
      </c>
      <c r="AI50" s="1">
        <v>97</v>
      </c>
      <c r="AJ50" s="1">
        <f>AH50-AI50</f>
        <v>0.79999999999999716</v>
      </c>
      <c r="AK50" s="2">
        <v>38268</v>
      </c>
      <c r="AL50" s="1">
        <v>6.3411540900437657E-2</v>
      </c>
      <c r="AM50" s="1">
        <v>0.3</v>
      </c>
      <c r="AN50" s="4">
        <f>AL50-AM50</f>
        <v>-0.23658845909956233</v>
      </c>
      <c r="AO50" s="2">
        <v>37272</v>
      </c>
      <c r="AP50" s="5">
        <v>-0.16891890000000001</v>
      </c>
      <c r="AQ50" s="1">
        <v>-0.2</v>
      </c>
      <c r="AR50" s="4">
        <f>AP50-AQ50</f>
        <v>3.10811E-2</v>
      </c>
      <c r="AS50" s="2">
        <v>37274</v>
      </c>
      <c r="AT50" s="5">
        <v>-27.887</v>
      </c>
      <c r="AU50" s="1">
        <v>-28.4</v>
      </c>
      <c r="AV50" s="4">
        <f>AT50-AU50</f>
        <v>0.51299999999999812</v>
      </c>
      <c r="AW50" s="9">
        <v>37272</v>
      </c>
      <c r="AX50" s="4">
        <v>-0.12125373439588299</v>
      </c>
      <c r="AY50" s="6">
        <v>-0.4</v>
      </c>
      <c r="AZ50" s="4">
        <f>AX50-AY50</f>
        <v>0.27874626560411703</v>
      </c>
    </row>
    <row r="51" spans="1:52" s="1" customFormat="1" x14ac:dyDescent="0.2">
      <c r="A51" s="2">
        <v>37288</v>
      </c>
      <c r="B51" s="1">
        <v>-89</v>
      </c>
      <c r="C51" s="1">
        <v>-50</v>
      </c>
      <c r="D51" s="1">
        <f>B51-C51</f>
        <v>-39</v>
      </c>
      <c r="E51" s="2">
        <v>37288</v>
      </c>
      <c r="F51" s="1">
        <v>5.6</v>
      </c>
      <c r="G51" s="1">
        <v>5.9</v>
      </c>
      <c r="H51" s="1">
        <f>F51-G51</f>
        <v>-0.30000000000000071</v>
      </c>
      <c r="I51" s="2">
        <v>37307</v>
      </c>
      <c r="J51" s="1">
        <v>0</v>
      </c>
      <c r="K51" s="1">
        <v>0.2</v>
      </c>
      <c r="L51" s="4">
        <f>J51-K51</f>
        <v>-0.2</v>
      </c>
      <c r="M51" s="2">
        <v>40298</v>
      </c>
      <c r="N51" s="4">
        <v>3.2387298309743295</v>
      </c>
      <c r="O51" s="1">
        <v>3.4</v>
      </c>
      <c r="P51" s="4">
        <f>N51-O51</f>
        <v>-0.16127016902567037</v>
      </c>
      <c r="Q51" s="2">
        <v>38547</v>
      </c>
      <c r="R51" s="4">
        <v>1.6526985672555199</v>
      </c>
      <c r="S51" s="1">
        <v>1</v>
      </c>
      <c r="T51" s="4">
        <f>R51-S51</f>
        <v>0.65269856725551989</v>
      </c>
      <c r="U51" s="2">
        <v>37316</v>
      </c>
      <c r="V51" s="1" t="s">
        <v>52</v>
      </c>
      <c r="W51" s="1" t="s">
        <v>52</v>
      </c>
      <c r="X51" s="1">
        <v>3.9</v>
      </c>
      <c r="Y51" s="2">
        <v>37889</v>
      </c>
      <c r="Z51" s="5">
        <v>-0.89659940000000005</v>
      </c>
      <c r="AA51" s="1">
        <v>0.6</v>
      </c>
      <c r="AB51" s="1">
        <f>Z51-AA51</f>
        <v>-1.4965994</v>
      </c>
      <c r="AC51" s="2">
        <v>37859</v>
      </c>
      <c r="AD51" s="5">
        <v>1.165</v>
      </c>
      <c r="AE51" s="6">
        <v>1.1499999999999999</v>
      </c>
      <c r="AF51" s="7">
        <f>AD51-AE51</f>
        <v>1.5000000000000124E-2</v>
      </c>
      <c r="AG51" s="8">
        <v>37313</v>
      </c>
      <c r="AH51" s="6">
        <v>95</v>
      </c>
      <c r="AI51" s="1">
        <v>97</v>
      </c>
      <c r="AJ51" s="1">
        <f>AH51-AI51</f>
        <v>-2</v>
      </c>
      <c r="AK51" s="2">
        <v>38296</v>
      </c>
      <c r="AL51" s="1">
        <v>0.31685678073511969</v>
      </c>
      <c r="AM51" s="1">
        <v>0.3</v>
      </c>
      <c r="AN51" s="4">
        <f>AL51-AM51</f>
        <v>1.6856780735119703E-2</v>
      </c>
      <c r="AO51" s="2">
        <v>37307</v>
      </c>
      <c r="AP51" s="5">
        <v>0.16920473999999999</v>
      </c>
      <c r="AQ51" s="1">
        <v>0.3</v>
      </c>
      <c r="AR51" s="4">
        <f>AP51-AQ51</f>
        <v>-0.13079526</v>
      </c>
      <c r="AS51" s="2">
        <v>37308</v>
      </c>
      <c r="AT51" s="5">
        <v>-25.295000000000002</v>
      </c>
      <c r="AU51" s="1">
        <v>-28.5</v>
      </c>
      <c r="AV51" s="4">
        <f>AT51-AU51</f>
        <v>3.2049999999999983</v>
      </c>
      <c r="AW51" s="9">
        <v>37302</v>
      </c>
      <c r="AX51" s="4">
        <v>-0.107562287344961</v>
      </c>
      <c r="AY51" s="6">
        <v>-0.2</v>
      </c>
      <c r="AZ51" s="4">
        <f>AX51-AY51</f>
        <v>9.2437712655039014E-2</v>
      </c>
    </row>
    <row r="52" spans="1:52" s="1" customFormat="1" x14ac:dyDescent="0.2">
      <c r="A52" s="2">
        <v>37323</v>
      </c>
      <c r="B52" s="1">
        <v>66</v>
      </c>
      <c r="C52" s="1">
        <v>13</v>
      </c>
      <c r="D52" s="1">
        <f>B52-C52</f>
        <v>53</v>
      </c>
      <c r="E52" s="2">
        <v>37323</v>
      </c>
      <c r="F52" s="1">
        <v>5.5</v>
      </c>
      <c r="G52" s="1">
        <v>5.8</v>
      </c>
      <c r="H52" s="1">
        <f>F52-G52</f>
        <v>-0.29999999999999982</v>
      </c>
      <c r="I52" s="2">
        <v>37336</v>
      </c>
      <c r="J52" s="1">
        <v>0.26511134676564158</v>
      </c>
      <c r="K52" s="1">
        <v>0.2</v>
      </c>
      <c r="L52" s="4">
        <f>J52-K52</f>
        <v>6.5111346765641565E-2</v>
      </c>
      <c r="M52" s="2">
        <v>40389</v>
      </c>
      <c r="N52" s="4">
        <v>2.3865793742806174</v>
      </c>
      <c r="O52" s="1">
        <v>2.5</v>
      </c>
      <c r="P52" s="4">
        <f>N52-O52</f>
        <v>-0.11342062571938261</v>
      </c>
      <c r="Q52" s="2">
        <v>38575</v>
      </c>
      <c r="R52" s="4">
        <v>1.7708045302037301</v>
      </c>
      <c r="S52" s="1">
        <v>2.1</v>
      </c>
      <c r="T52" s="4">
        <f>R52-S52</f>
        <v>-0.32919546979627001</v>
      </c>
      <c r="U52" s="2">
        <v>37347</v>
      </c>
      <c r="V52" s="1" t="s">
        <v>52</v>
      </c>
      <c r="W52" s="1" t="s">
        <v>52</v>
      </c>
      <c r="X52" s="1">
        <v>1.1000000000000001</v>
      </c>
      <c r="Y52" s="2">
        <v>37922</v>
      </c>
      <c r="Z52" s="5">
        <v>0.78913509999999998</v>
      </c>
      <c r="AA52" s="1">
        <v>1</v>
      </c>
      <c r="AB52" s="1">
        <f>Z52-AA52</f>
        <v>-0.21086490000000002</v>
      </c>
      <c r="AC52" s="2">
        <v>37889</v>
      </c>
      <c r="AD52" s="5">
        <v>1.1499999999999999</v>
      </c>
      <c r="AE52" s="6">
        <v>1.1000000000000001</v>
      </c>
      <c r="AF52" s="7">
        <f>AD52-AE52</f>
        <v>4.9999999999999822E-2</v>
      </c>
      <c r="AG52" s="8">
        <v>37341</v>
      </c>
      <c r="AH52" s="6">
        <v>110.7</v>
      </c>
      <c r="AI52" s="1">
        <v>98</v>
      </c>
      <c r="AJ52" s="1">
        <f>AH52-AI52</f>
        <v>12.700000000000003</v>
      </c>
      <c r="AK52" s="2">
        <v>38324</v>
      </c>
      <c r="AL52" s="1">
        <v>0</v>
      </c>
      <c r="AM52" s="1">
        <v>0.3</v>
      </c>
      <c r="AN52" s="4">
        <f>AL52-AM52</f>
        <v>-0.3</v>
      </c>
      <c r="AO52" s="2">
        <v>37336</v>
      </c>
      <c r="AP52" s="5">
        <v>0.22522523</v>
      </c>
      <c r="AQ52" s="1">
        <v>0.2</v>
      </c>
      <c r="AR52" s="4">
        <f>AP52-AQ52</f>
        <v>2.5225229999999987E-2</v>
      </c>
      <c r="AS52" s="2">
        <v>37334</v>
      </c>
      <c r="AT52" s="5">
        <v>-28.518000000000001</v>
      </c>
      <c r="AU52" s="1">
        <v>-27</v>
      </c>
      <c r="AV52" s="4">
        <f>AT52-AU52</f>
        <v>-1.5180000000000007</v>
      </c>
      <c r="AW52" s="9">
        <v>37330</v>
      </c>
      <c r="AX52" s="4">
        <v>0.38144277264405901</v>
      </c>
      <c r="AY52" s="6">
        <v>0.2</v>
      </c>
      <c r="AZ52" s="4">
        <f>AX52-AY52</f>
        <v>0.181442772644059</v>
      </c>
    </row>
    <row r="53" spans="1:52" s="1" customFormat="1" x14ac:dyDescent="0.2">
      <c r="A53" s="2">
        <v>37351</v>
      </c>
      <c r="B53" s="1">
        <v>58</v>
      </c>
      <c r="C53" s="1">
        <v>50</v>
      </c>
      <c r="D53" s="1">
        <f>B53-C53</f>
        <v>8</v>
      </c>
      <c r="E53" s="2">
        <v>37351</v>
      </c>
      <c r="F53" s="1">
        <v>5.7</v>
      </c>
      <c r="G53" s="1">
        <v>5.6</v>
      </c>
      <c r="H53" s="1">
        <f>F53-G53</f>
        <v>0.10000000000000053</v>
      </c>
      <c r="I53" s="2">
        <v>37362</v>
      </c>
      <c r="J53" s="1">
        <v>0.10576414595453043</v>
      </c>
      <c r="K53" s="1">
        <v>0.2</v>
      </c>
      <c r="L53" s="4">
        <f>J53-K53</f>
        <v>-9.423585404546958E-2</v>
      </c>
      <c r="M53" s="2">
        <v>40480</v>
      </c>
      <c r="N53" s="4">
        <v>2.0096804996220241</v>
      </c>
      <c r="O53" s="1">
        <v>2</v>
      </c>
      <c r="P53" s="4">
        <f>N53-O53</f>
        <v>9.680499622024108E-3</v>
      </c>
      <c r="Q53" s="2">
        <v>38609</v>
      </c>
      <c r="R53" s="4">
        <v>-2.1035766115164001</v>
      </c>
      <c r="S53" s="1">
        <v>-1.4</v>
      </c>
      <c r="T53" s="4">
        <f>R53-S53</f>
        <v>-0.70357661151640016</v>
      </c>
      <c r="U53" s="2">
        <v>37377</v>
      </c>
      <c r="V53" s="1" t="s">
        <v>52</v>
      </c>
      <c r="W53" s="1" t="s">
        <v>52</v>
      </c>
      <c r="X53" s="1">
        <v>-1.1000000000000001</v>
      </c>
      <c r="Y53" s="2">
        <v>37951</v>
      </c>
      <c r="Z53" s="5">
        <v>3.3283124900000001</v>
      </c>
      <c r="AA53" s="1">
        <v>0.8</v>
      </c>
      <c r="AB53" s="1">
        <f>Z53-AA53</f>
        <v>2.5283124900000002</v>
      </c>
      <c r="AC53" s="2">
        <v>37921</v>
      </c>
      <c r="AD53" s="5">
        <v>1.145</v>
      </c>
      <c r="AE53" s="6">
        <v>1.1000000000000001</v>
      </c>
      <c r="AF53" s="7">
        <f>AD53-AE53</f>
        <v>4.4999999999999929E-2</v>
      </c>
      <c r="AG53" s="8">
        <v>37376</v>
      </c>
      <c r="AH53" s="6">
        <v>108.5</v>
      </c>
      <c r="AI53" s="1">
        <v>108.2</v>
      </c>
      <c r="AJ53" s="1">
        <f>AH53-AI53</f>
        <v>0.29999999999999716</v>
      </c>
      <c r="AK53" s="2">
        <v>38359</v>
      </c>
      <c r="AL53" s="1">
        <v>0.18951358180669953</v>
      </c>
      <c r="AM53" s="1">
        <v>0.2</v>
      </c>
      <c r="AN53" s="4">
        <f>AL53-AM53</f>
        <v>-1.0486418193300484E-2</v>
      </c>
      <c r="AO53" s="2">
        <v>37362</v>
      </c>
      <c r="AP53" s="5">
        <v>0.33707864999999998</v>
      </c>
      <c r="AQ53" s="1">
        <v>0.5</v>
      </c>
      <c r="AR53" s="4">
        <f>AP53-AQ53</f>
        <v>-0.16292135000000002</v>
      </c>
      <c r="AS53" s="2">
        <v>37363</v>
      </c>
      <c r="AT53" s="5">
        <v>-31.512</v>
      </c>
      <c r="AU53" s="1">
        <v>-29.3</v>
      </c>
      <c r="AV53" s="4">
        <f>AT53-AU53</f>
        <v>-2.2119999999999997</v>
      </c>
      <c r="AW53" s="9">
        <v>37362</v>
      </c>
      <c r="AX53" s="4">
        <v>0.71595409769472496</v>
      </c>
      <c r="AY53" s="6">
        <v>0.5</v>
      </c>
      <c r="AZ53" s="4">
        <f>AX53-AY53</f>
        <v>0.21595409769472496</v>
      </c>
    </row>
    <row r="54" spans="1:52" s="1" customFormat="1" x14ac:dyDescent="0.2">
      <c r="A54" s="2">
        <v>37379</v>
      </c>
      <c r="B54" s="1">
        <v>43</v>
      </c>
      <c r="C54" s="1">
        <v>43</v>
      </c>
      <c r="D54" s="1">
        <f>B54-C54</f>
        <v>0</v>
      </c>
      <c r="E54" s="2">
        <v>37379</v>
      </c>
      <c r="F54" s="1">
        <v>6</v>
      </c>
      <c r="G54" s="1">
        <v>5.8</v>
      </c>
      <c r="H54" s="1">
        <f>F54-G54</f>
        <v>0.20000000000000018</v>
      </c>
      <c r="I54" s="2">
        <v>37391</v>
      </c>
      <c r="J54" s="1">
        <v>0.26413100898045427</v>
      </c>
      <c r="K54" s="1">
        <v>0.2</v>
      </c>
      <c r="L54" s="4">
        <f>J54-K54</f>
        <v>6.4131008980454263E-2</v>
      </c>
      <c r="M54" s="2">
        <v>40571</v>
      </c>
      <c r="N54" s="4">
        <v>3.1729664113563372</v>
      </c>
      <c r="O54" s="1">
        <v>3.5</v>
      </c>
      <c r="P54" s="4">
        <f>N54-O54</f>
        <v>-0.32703358864366283</v>
      </c>
      <c r="Q54" s="2">
        <v>38639</v>
      </c>
      <c r="R54" s="4">
        <v>0.235858473507988</v>
      </c>
      <c r="S54" s="1">
        <v>0.5</v>
      </c>
      <c r="T54" s="4">
        <f>R54-S54</f>
        <v>-0.264141526492012</v>
      </c>
      <c r="U54" s="2">
        <v>37410</v>
      </c>
      <c r="V54" s="1" t="s">
        <v>52</v>
      </c>
      <c r="W54" s="1" t="s">
        <v>52</v>
      </c>
      <c r="X54" s="1">
        <v>0.8</v>
      </c>
      <c r="Y54" s="2">
        <v>37979</v>
      </c>
      <c r="Z54" s="5">
        <v>-3.0929110999999998</v>
      </c>
      <c r="AA54" s="1">
        <v>0.8</v>
      </c>
      <c r="AB54" s="1">
        <f>Z54-AA54</f>
        <v>-3.8929111000000001</v>
      </c>
      <c r="AC54" s="2">
        <v>37951</v>
      </c>
      <c r="AD54" s="5">
        <v>1.105</v>
      </c>
      <c r="AE54" s="6">
        <v>1.1220000000000001</v>
      </c>
      <c r="AF54" s="7">
        <f>AD54-AE54</f>
        <v>-1.7000000000000126E-2</v>
      </c>
      <c r="AG54" s="8">
        <v>37404</v>
      </c>
      <c r="AH54" s="6">
        <v>110.3</v>
      </c>
      <c r="AI54" s="1">
        <v>110</v>
      </c>
      <c r="AJ54" s="1">
        <f>AH54-AI54</f>
        <v>0.29999999999999716</v>
      </c>
      <c r="AK54" s="2">
        <v>38387</v>
      </c>
      <c r="AL54" s="1">
        <v>0.12610340479193294</v>
      </c>
      <c r="AM54" s="1">
        <v>0.2</v>
      </c>
      <c r="AN54" s="4">
        <f>AL54-AM54</f>
        <v>-7.3896595208067073E-2</v>
      </c>
      <c r="AO54" s="2">
        <v>37391</v>
      </c>
      <c r="AP54" s="5">
        <v>0.50391936999999998</v>
      </c>
      <c r="AQ54" s="1">
        <v>0.4</v>
      </c>
      <c r="AR54" s="4">
        <f>AP54-AQ54</f>
        <v>0.10391936999999996</v>
      </c>
      <c r="AS54" s="2">
        <v>37393</v>
      </c>
      <c r="AT54" s="5">
        <v>-31.632999999999999</v>
      </c>
      <c r="AU54" s="1">
        <v>-32</v>
      </c>
      <c r="AV54" s="4">
        <f>AT54-AU54</f>
        <v>0.36700000000000088</v>
      </c>
      <c r="AW54" s="9">
        <v>37391</v>
      </c>
      <c r="AX54" s="4">
        <v>0.38016505078486701</v>
      </c>
      <c r="AY54" s="6">
        <v>0.4</v>
      </c>
      <c r="AZ54" s="4">
        <f>AX54-AY54</f>
        <v>-1.9834949215133013E-2</v>
      </c>
    </row>
    <row r="55" spans="1:52" s="1" customFormat="1" x14ac:dyDescent="0.2">
      <c r="A55" s="2">
        <v>37414</v>
      </c>
      <c r="B55" s="1">
        <v>41</v>
      </c>
      <c r="C55" s="1">
        <v>65</v>
      </c>
      <c r="D55" s="1">
        <f>B55-C55</f>
        <v>-24</v>
      </c>
      <c r="E55" s="2">
        <v>37414</v>
      </c>
      <c r="F55" s="1">
        <v>5.8</v>
      </c>
      <c r="G55" s="1">
        <v>6.1</v>
      </c>
      <c r="H55" s="1">
        <f>F55-G55</f>
        <v>-0.29999999999999982</v>
      </c>
      <c r="I55" s="2">
        <v>37425</v>
      </c>
      <c r="J55" s="1">
        <v>0.15806111696521755</v>
      </c>
      <c r="K55" s="1">
        <v>0.1</v>
      </c>
      <c r="L55" s="4">
        <f>J55-K55</f>
        <v>5.8061116965217541E-2</v>
      </c>
      <c r="M55" s="2">
        <v>40661</v>
      </c>
      <c r="N55" s="4">
        <v>1.7481748608377368</v>
      </c>
      <c r="O55" s="1">
        <v>2</v>
      </c>
      <c r="P55" s="4">
        <f>N55-O55</f>
        <v>-0.25182513916226323</v>
      </c>
      <c r="Q55" s="2">
        <v>38671</v>
      </c>
      <c r="R55" s="4">
        <v>-6.1402536265872901E-2</v>
      </c>
      <c r="S55" s="1">
        <v>-0.8</v>
      </c>
      <c r="T55" s="4">
        <f>R55-S55</f>
        <v>0.73859746373412716</v>
      </c>
      <c r="U55" s="2">
        <v>37438</v>
      </c>
      <c r="V55" s="1" t="s">
        <v>52</v>
      </c>
      <c r="W55" s="1" t="s">
        <v>52</v>
      </c>
      <c r="X55" s="1">
        <v>0.4</v>
      </c>
      <c r="Y55" s="2">
        <v>38014</v>
      </c>
      <c r="Z55" s="5">
        <v>-4.8499800000000003E-2</v>
      </c>
      <c r="AA55" s="1">
        <v>2</v>
      </c>
      <c r="AB55" s="1">
        <f>Z55-AA55</f>
        <v>-2.0484998000000001</v>
      </c>
      <c r="AC55" s="2">
        <v>37979</v>
      </c>
      <c r="AD55" s="5">
        <v>1.0820000000000001</v>
      </c>
      <c r="AE55" s="6">
        <v>1.1000000000000001</v>
      </c>
      <c r="AF55" s="7">
        <f>AD55-AE55</f>
        <v>-1.8000000000000016E-2</v>
      </c>
      <c r="AG55" s="8">
        <v>37432</v>
      </c>
      <c r="AH55" s="6">
        <v>106.3</v>
      </c>
      <c r="AI55" s="1">
        <v>105</v>
      </c>
      <c r="AJ55" s="1">
        <f>AH55-AI55</f>
        <v>1.2999999999999972</v>
      </c>
      <c r="AK55" s="2">
        <v>38415</v>
      </c>
      <c r="AL55" s="1">
        <v>0.12594458438286438</v>
      </c>
      <c r="AM55" s="1">
        <v>0.2</v>
      </c>
      <c r="AN55" s="4">
        <f>AL55-AM55</f>
        <v>-7.4055415617135634E-2</v>
      </c>
      <c r="AO55" s="2">
        <v>37425</v>
      </c>
      <c r="AP55" s="5">
        <v>0</v>
      </c>
      <c r="AQ55" s="1">
        <v>0</v>
      </c>
      <c r="AR55" s="4">
        <f>AP55-AQ55</f>
        <v>0</v>
      </c>
      <c r="AS55" s="2">
        <v>37427</v>
      </c>
      <c r="AT55" s="5">
        <v>-35.938000000000002</v>
      </c>
      <c r="AU55" s="1">
        <v>-32.4</v>
      </c>
      <c r="AV55" s="4">
        <f>AT55-AU55</f>
        <v>-3.5380000000000038</v>
      </c>
      <c r="AW55" s="9">
        <v>37421</v>
      </c>
      <c r="AX55" s="4">
        <v>0.17038469557215</v>
      </c>
      <c r="AY55" s="6">
        <v>0.5</v>
      </c>
      <c r="AZ55" s="4">
        <f>AX55-AY55</f>
        <v>-0.32961530442785003</v>
      </c>
    </row>
    <row r="56" spans="1:52" s="1" customFormat="1" x14ac:dyDescent="0.2">
      <c r="A56" s="2">
        <v>37442</v>
      </c>
      <c r="B56" s="1">
        <v>36</v>
      </c>
      <c r="C56" s="1">
        <v>104</v>
      </c>
      <c r="D56" s="1">
        <f>B56-C56</f>
        <v>-68</v>
      </c>
      <c r="E56" s="2">
        <v>37442</v>
      </c>
      <c r="F56" s="1">
        <v>5.9</v>
      </c>
      <c r="G56" s="1">
        <v>5.9</v>
      </c>
      <c r="H56" s="1">
        <f>F56-G56</f>
        <v>0</v>
      </c>
      <c r="I56" s="2">
        <v>37456</v>
      </c>
      <c r="J56" s="1">
        <v>5.2603892688055931E-2</v>
      </c>
      <c r="K56" s="1">
        <v>0.2</v>
      </c>
      <c r="L56" s="4">
        <f>J56-K56</f>
        <v>-0.14739610731194408</v>
      </c>
      <c r="M56" s="2">
        <v>40753</v>
      </c>
      <c r="N56" s="4">
        <v>1.2822102128453361</v>
      </c>
      <c r="O56" s="1">
        <v>1.8</v>
      </c>
      <c r="P56" s="4">
        <f>N56-O56</f>
        <v>-0.51778978715466395</v>
      </c>
      <c r="Q56" s="2">
        <v>38699</v>
      </c>
      <c r="R56" s="4">
        <v>0.25668631006346299</v>
      </c>
      <c r="S56" s="1">
        <v>0.5</v>
      </c>
      <c r="T56" s="4">
        <f>R56-S56</f>
        <v>-0.24331368993653701</v>
      </c>
      <c r="U56" s="2">
        <v>37469</v>
      </c>
      <c r="V56" s="1" t="s">
        <v>52</v>
      </c>
      <c r="W56" s="1" t="s">
        <v>52</v>
      </c>
      <c r="X56" s="1">
        <v>-4.5</v>
      </c>
      <c r="Y56" s="2">
        <v>38043</v>
      </c>
      <c r="Z56" s="5">
        <v>-1.759795</v>
      </c>
      <c r="AA56" s="1">
        <v>1.2</v>
      </c>
      <c r="AB56" s="1">
        <f>Z56-AA56</f>
        <v>-2.9597949999999997</v>
      </c>
      <c r="AC56" s="2">
        <v>38014</v>
      </c>
      <c r="AD56" s="5">
        <v>1.06</v>
      </c>
      <c r="AE56" s="6">
        <v>1.083</v>
      </c>
      <c r="AF56" s="7">
        <f>AD56-AE56</f>
        <v>-2.2999999999999909E-2</v>
      </c>
      <c r="AG56" s="8">
        <v>37467</v>
      </c>
      <c r="AH56" s="6">
        <v>97.4</v>
      </c>
      <c r="AI56" s="1">
        <v>102</v>
      </c>
      <c r="AJ56" s="1">
        <f>AH56-AI56</f>
        <v>-4.5999999999999943</v>
      </c>
      <c r="AK56" s="2">
        <v>38443</v>
      </c>
      <c r="AL56" s="1">
        <v>0.31446540880502027</v>
      </c>
      <c r="AM56" s="1">
        <v>0.2</v>
      </c>
      <c r="AN56" s="4">
        <f>AL56-AM56</f>
        <v>0.11446540880502026</v>
      </c>
      <c r="AO56" s="2">
        <v>37456</v>
      </c>
      <c r="AP56" s="5">
        <v>0.11142061</v>
      </c>
      <c r="AQ56" s="1">
        <v>0.2</v>
      </c>
      <c r="AR56" s="4">
        <f>AP56-AQ56</f>
        <v>-8.8579390000000008E-2</v>
      </c>
      <c r="AS56" s="2">
        <v>37456</v>
      </c>
      <c r="AT56" s="5">
        <v>-37.637999999999998</v>
      </c>
      <c r="AU56" s="1">
        <v>-35</v>
      </c>
      <c r="AV56" s="4">
        <f>AT56-AU56</f>
        <v>-2.6379999999999981</v>
      </c>
      <c r="AW56" s="9">
        <v>37453</v>
      </c>
      <c r="AX56" s="4">
        <v>0.79231348366972998</v>
      </c>
      <c r="AY56" s="6">
        <v>0.4</v>
      </c>
      <c r="AZ56" s="4">
        <f>AX56-AY56</f>
        <v>0.39231348366972996</v>
      </c>
    </row>
    <row r="57" spans="1:52" s="1" customFormat="1" x14ac:dyDescent="0.2">
      <c r="A57" s="2">
        <v>37470</v>
      </c>
      <c r="B57" s="1">
        <v>6</v>
      </c>
      <c r="C57" s="1">
        <v>75</v>
      </c>
      <c r="D57" s="1">
        <f>B57-C57</f>
        <v>-69</v>
      </c>
      <c r="E57" s="2">
        <v>37470</v>
      </c>
      <c r="F57" s="1">
        <v>5.9</v>
      </c>
      <c r="G57" s="1">
        <v>5.9</v>
      </c>
      <c r="H57" s="1">
        <f>F57-G57</f>
        <v>0</v>
      </c>
      <c r="I57" s="2">
        <v>37484</v>
      </c>
      <c r="J57" s="1">
        <v>0.15772870662461166</v>
      </c>
      <c r="K57" s="1">
        <v>0.2</v>
      </c>
      <c r="L57" s="4">
        <f>J57-K57</f>
        <v>-4.2271293375388347E-2</v>
      </c>
      <c r="M57" s="2">
        <v>40843</v>
      </c>
      <c r="N57" s="4">
        <v>2.4637066991862522</v>
      </c>
      <c r="O57" s="1">
        <v>2.5</v>
      </c>
      <c r="P57" s="4">
        <f>N57-O57</f>
        <v>-3.629330081374782E-2</v>
      </c>
      <c r="Q57" s="2">
        <v>38730</v>
      </c>
      <c r="R57" s="4">
        <v>0.69051484719474798</v>
      </c>
      <c r="S57" s="1">
        <v>0.8</v>
      </c>
      <c r="T57" s="4">
        <f>R57-S57</f>
        <v>-0.10948515280525206</v>
      </c>
      <c r="U57" s="2">
        <v>37502</v>
      </c>
      <c r="V57" s="1" t="s">
        <v>52</v>
      </c>
      <c r="W57" s="1" t="s">
        <v>52</v>
      </c>
      <c r="X57" s="1">
        <v>-1.5</v>
      </c>
      <c r="Y57" s="2">
        <v>38070</v>
      </c>
      <c r="Z57" s="5">
        <v>2.4997630200000001</v>
      </c>
      <c r="AA57" s="1">
        <v>1.7</v>
      </c>
      <c r="AB57" s="1">
        <f>Z57-AA57</f>
        <v>0.7997630200000001</v>
      </c>
      <c r="AC57" s="2">
        <v>38043</v>
      </c>
      <c r="AD57" s="5">
        <v>1.1060000000000001</v>
      </c>
      <c r="AE57" s="6">
        <v>1.1000000000000001</v>
      </c>
      <c r="AF57" s="7">
        <f>AD57-AE57</f>
        <v>6.0000000000000053E-3</v>
      </c>
      <c r="AG57" s="8">
        <v>37495</v>
      </c>
      <c r="AH57" s="6">
        <v>94.5</v>
      </c>
      <c r="AI57" s="1">
        <v>97</v>
      </c>
      <c r="AJ57" s="1">
        <f>AH57-AI57</f>
        <v>-2.5</v>
      </c>
      <c r="AK57" s="2">
        <v>38478</v>
      </c>
      <c r="AL57" s="1">
        <v>0.31347962382446415</v>
      </c>
      <c r="AM57" s="1">
        <v>0.3</v>
      </c>
      <c r="AN57" s="4">
        <f>AL57-AM57</f>
        <v>1.347962382446416E-2</v>
      </c>
      <c r="AO57" s="2">
        <v>37484</v>
      </c>
      <c r="AP57" s="5">
        <v>0.11129661</v>
      </c>
      <c r="AQ57" s="1">
        <v>0.2</v>
      </c>
      <c r="AR57" s="4">
        <f>AP57-AQ57</f>
        <v>-8.8703390000000007E-2</v>
      </c>
      <c r="AS57" s="2">
        <v>37488</v>
      </c>
      <c r="AT57" s="5">
        <v>-37.161000000000001</v>
      </c>
      <c r="AU57" s="1">
        <v>-37.299999999999997</v>
      </c>
      <c r="AV57" s="4">
        <f>AT57-AU57</f>
        <v>0.13899999999999579</v>
      </c>
      <c r="AW57" s="9">
        <v>37483</v>
      </c>
      <c r="AX57" s="4">
        <v>0.173735964056592</v>
      </c>
      <c r="AY57" s="6">
        <v>0.1</v>
      </c>
      <c r="AZ57" s="4">
        <f>AX57-AY57</f>
        <v>7.3735964056591996E-2</v>
      </c>
    </row>
    <row r="58" spans="1:52" s="1" customFormat="1" x14ac:dyDescent="0.2">
      <c r="A58" s="2">
        <v>37505</v>
      </c>
      <c r="B58" s="1">
        <v>39</v>
      </c>
      <c r="C58" s="1">
        <v>40</v>
      </c>
      <c r="D58" s="1">
        <f>B58-C58</f>
        <v>-1</v>
      </c>
      <c r="E58" s="2">
        <v>37505</v>
      </c>
      <c r="F58" s="1">
        <v>5.7</v>
      </c>
      <c r="G58" s="1">
        <v>5.9</v>
      </c>
      <c r="H58" s="1">
        <f>F58-G58</f>
        <v>-0.20000000000000018</v>
      </c>
      <c r="I58" s="2">
        <v>37517</v>
      </c>
      <c r="J58" s="1">
        <v>0.31496062992125684</v>
      </c>
      <c r="K58" s="1">
        <v>0.2</v>
      </c>
      <c r="L58" s="4">
        <f>J58-K58</f>
        <v>0.11496062992125683</v>
      </c>
      <c r="M58" s="2">
        <v>40935</v>
      </c>
      <c r="N58" s="4">
        <v>2.7523136550876126</v>
      </c>
      <c r="O58" s="1">
        <v>3</v>
      </c>
      <c r="P58" s="4">
        <f>N58-O58</f>
        <v>-0.24768634491238739</v>
      </c>
      <c r="Q58" s="2">
        <v>38762</v>
      </c>
      <c r="R58" s="4">
        <v>2.3433976745293399</v>
      </c>
      <c r="S58" s="1">
        <v>1</v>
      </c>
      <c r="T58" s="4">
        <f>R58-S58</f>
        <v>1.3433976745293399</v>
      </c>
      <c r="U58" s="2">
        <v>37530</v>
      </c>
      <c r="V58" s="1" t="s">
        <v>52</v>
      </c>
      <c r="W58" s="1" t="s">
        <v>52</v>
      </c>
      <c r="X58" s="1">
        <v>-0.6</v>
      </c>
      <c r="Y58" s="2">
        <v>38100</v>
      </c>
      <c r="Z58" s="5">
        <v>3.3773925</v>
      </c>
      <c r="AA58" s="1">
        <v>0.5</v>
      </c>
      <c r="AB58" s="1">
        <f>Z58-AA58</f>
        <v>2.8773925</v>
      </c>
      <c r="AC58" s="2">
        <v>38070</v>
      </c>
      <c r="AD58" s="5">
        <v>1.163</v>
      </c>
      <c r="AE58" s="6">
        <v>1.0840000000000001</v>
      </c>
      <c r="AF58" s="7">
        <f>AD58-AE58</f>
        <v>7.8999999999999959E-2</v>
      </c>
      <c r="AG58" s="8">
        <v>37523</v>
      </c>
      <c r="AH58" s="6">
        <v>93.7</v>
      </c>
      <c r="AI58" s="1">
        <v>92</v>
      </c>
      <c r="AJ58" s="1">
        <f>AH58-AI58</f>
        <v>1.7000000000000028</v>
      </c>
      <c r="AK58" s="2">
        <v>38506</v>
      </c>
      <c r="AL58" s="1">
        <v>0.18750000000000711</v>
      </c>
      <c r="AM58" s="1">
        <v>0.3</v>
      </c>
      <c r="AN58" s="4">
        <f>AL58-AM58</f>
        <v>-0.11249999999999288</v>
      </c>
      <c r="AO58" s="2">
        <v>37517</v>
      </c>
      <c r="AP58" s="5">
        <v>0.33351861999999999</v>
      </c>
      <c r="AQ58" s="1">
        <v>0.2</v>
      </c>
      <c r="AR58" s="4">
        <f>AP58-AQ58</f>
        <v>0.13351861999999998</v>
      </c>
      <c r="AS58" s="2">
        <v>37517</v>
      </c>
      <c r="AT58" s="5">
        <v>-34.554000000000002</v>
      </c>
      <c r="AU58" s="1">
        <v>-37.1</v>
      </c>
      <c r="AV58" s="4">
        <f>AT58-AU58</f>
        <v>2.5459999999999994</v>
      </c>
      <c r="AW58" s="9">
        <v>37516</v>
      </c>
      <c r="AX58" s="4">
        <v>-0.25408090844570902</v>
      </c>
      <c r="AY58" s="6">
        <v>0.1</v>
      </c>
      <c r="AZ58" s="4">
        <f>AX58-AY58</f>
        <v>-0.35408090844570905</v>
      </c>
    </row>
    <row r="59" spans="1:52" s="1" customFormat="1" x14ac:dyDescent="0.2">
      <c r="A59" s="2">
        <v>37533</v>
      </c>
      <c r="B59" s="1">
        <v>-43</v>
      </c>
      <c r="C59" s="1">
        <v>-8</v>
      </c>
      <c r="D59" s="1">
        <f>B59-C59</f>
        <v>-35</v>
      </c>
      <c r="E59" s="2">
        <v>37533</v>
      </c>
      <c r="F59" s="1">
        <v>5.6</v>
      </c>
      <c r="G59" s="1">
        <v>5.9</v>
      </c>
      <c r="H59" s="1">
        <f>F59-G59</f>
        <v>-0.30000000000000071</v>
      </c>
      <c r="I59" s="2">
        <v>37547</v>
      </c>
      <c r="J59" s="1">
        <v>0.1046572475143993</v>
      </c>
      <c r="K59" s="1">
        <v>0.2</v>
      </c>
      <c r="L59" s="4">
        <f>J59-K59</f>
        <v>-9.5342752485600715E-2</v>
      </c>
      <c r="M59" s="2">
        <v>41026</v>
      </c>
      <c r="N59" s="4">
        <v>2.2043034779821058</v>
      </c>
      <c r="O59" s="1">
        <v>2.5</v>
      </c>
      <c r="P59" s="4">
        <f>N59-O59</f>
        <v>-0.2956965220178942</v>
      </c>
      <c r="Q59" s="2">
        <v>38790</v>
      </c>
      <c r="R59" s="4">
        <v>-1.33121993997527</v>
      </c>
      <c r="S59" s="1">
        <v>-0.7</v>
      </c>
      <c r="T59" s="4">
        <f>R59-S59</f>
        <v>-0.63121993997527004</v>
      </c>
      <c r="U59" s="2">
        <v>37561</v>
      </c>
      <c r="V59" s="1" t="s">
        <v>52</v>
      </c>
      <c r="W59" s="1" t="s">
        <v>52</v>
      </c>
      <c r="X59" s="1">
        <v>-1</v>
      </c>
      <c r="Y59" s="2">
        <v>38133</v>
      </c>
      <c r="Z59" s="5">
        <v>-2.8691374999999999</v>
      </c>
      <c r="AA59" s="1">
        <v>-0.8</v>
      </c>
      <c r="AB59" s="1">
        <f>Z59-AA59</f>
        <v>-2.0691375000000001</v>
      </c>
      <c r="AC59" s="2">
        <v>38103</v>
      </c>
      <c r="AD59" s="5">
        <v>1.228</v>
      </c>
      <c r="AE59" s="6">
        <v>1.175</v>
      </c>
      <c r="AF59" s="7">
        <f>AD59-AE59</f>
        <v>5.2999999999999936E-2</v>
      </c>
      <c r="AG59" s="8">
        <v>37558</v>
      </c>
      <c r="AH59" s="6">
        <v>79.599999999999994</v>
      </c>
      <c r="AI59" s="1">
        <v>90</v>
      </c>
      <c r="AJ59" s="1">
        <f>AH59-AI59</f>
        <v>-10.400000000000006</v>
      </c>
      <c r="AK59" s="2">
        <v>38541</v>
      </c>
      <c r="AL59" s="1">
        <v>0.18714909544601532</v>
      </c>
      <c r="AM59" s="1">
        <v>0.3</v>
      </c>
      <c r="AN59" s="4">
        <f>AL59-AM59</f>
        <v>-0.11285090455398467</v>
      </c>
      <c r="AO59" s="2">
        <v>37547</v>
      </c>
      <c r="AP59" s="5">
        <v>0.16620499</v>
      </c>
      <c r="AQ59" s="1">
        <v>0.2</v>
      </c>
      <c r="AR59" s="4">
        <f>AP59-AQ59</f>
        <v>-3.3795010000000014E-2</v>
      </c>
      <c r="AS59" s="2">
        <v>37547</v>
      </c>
      <c r="AT59" s="5">
        <v>-38.46</v>
      </c>
      <c r="AU59" s="1">
        <v>-36</v>
      </c>
      <c r="AV59" s="4">
        <f>AT59-AU59</f>
        <v>-2.4600000000000009</v>
      </c>
      <c r="AW59" s="9">
        <v>37546</v>
      </c>
      <c r="AX59" s="4">
        <v>-0.101680935180181</v>
      </c>
      <c r="AY59" s="6">
        <v>0.1</v>
      </c>
      <c r="AZ59" s="4">
        <f>AX59-AY59</f>
        <v>-0.20168093518018099</v>
      </c>
    </row>
    <row r="60" spans="1:52" s="1" customFormat="1" x14ac:dyDescent="0.2">
      <c r="A60" s="2">
        <v>37561</v>
      </c>
      <c r="B60" s="1">
        <v>-5</v>
      </c>
      <c r="C60" s="1">
        <v>-3</v>
      </c>
      <c r="D60" s="1">
        <f>B60-C60</f>
        <v>-2</v>
      </c>
      <c r="E60" s="2">
        <v>37561</v>
      </c>
      <c r="F60" s="1">
        <v>5.7</v>
      </c>
      <c r="G60" s="1">
        <v>5.8</v>
      </c>
      <c r="H60" s="1">
        <f>F60-G60</f>
        <v>-9.9999999999999645E-2</v>
      </c>
      <c r="I60" s="2">
        <v>37579</v>
      </c>
      <c r="J60" s="1">
        <v>0.15682174594876264</v>
      </c>
      <c r="K60" s="1">
        <v>0.2</v>
      </c>
      <c r="L60" s="4">
        <f>J60-K60</f>
        <v>-4.3178254051237375E-2</v>
      </c>
      <c r="M60" s="2">
        <v>41117</v>
      </c>
      <c r="N60" s="4">
        <v>1.5369440758632891</v>
      </c>
      <c r="O60" s="1">
        <v>1.5</v>
      </c>
      <c r="P60" s="4">
        <f>N60-O60</f>
        <v>3.6944075863289072E-2</v>
      </c>
      <c r="Q60" s="2">
        <v>38820</v>
      </c>
      <c r="R60" s="4">
        <v>0.62681683514633602</v>
      </c>
      <c r="S60" s="1">
        <v>0.5</v>
      </c>
      <c r="T60" s="4">
        <f>R60-S60</f>
        <v>0.12681683514633602</v>
      </c>
      <c r="U60" s="2">
        <v>37592</v>
      </c>
      <c r="V60" s="1" t="s">
        <v>52</v>
      </c>
      <c r="W60" s="1" t="s">
        <v>52</v>
      </c>
      <c r="X60" s="1">
        <v>-1.1000000000000001</v>
      </c>
      <c r="Y60" s="2">
        <v>38162</v>
      </c>
      <c r="Z60" s="5">
        <v>-1.6495746</v>
      </c>
      <c r="AA60" s="1">
        <v>1.1000000000000001</v>
      </c>
      <c r="AB60" s="1">
        <f>Z60-AA60</f>
        <v>-2.7495745999999999</v>
      </c>
      <c r="AC60" s="2">
        <v>38133</v>
      </c>
      <c r="AD60" s="5">
        <v>1.093</v>
      </c>
      <c r="AE60" s="6">
        <v>1.1950000000000001</v>
      </c>
      <c r="AF60" s="7">
        <f>AD60-AE60</f>
        <v>-0.10200000000000009</v>
      </c>
      <c r="AG60" s="8">
        <v>37586</v>
      </c>
      <c r="AH60" s="6">
        <v>84.9</v>
      </c>
      <c r="AI60" s="1">
        <v>84.5</v>
      </c>
      <c r="AJ60" s="1">
        <f>AH60-AI60</f>
        <v>0.40000000000000568</v>
      </c>
      <c r="AK60" s="2">
        <v>38569</v>
      </c>
      <c r="AL60" s="1">
        <v>0.43586550435865679</v>
      </c>
      <c r="AM60" s="1">
        <v>0.2</v>
      </c>
      <c r="AN60" s="4">
        <f>AL60-AM60</f>
        <v>0.23586550435865677</v>
      </c>
      <c r="AO60" s="2">
        <v>37579</v>
      </c>
      <c r="AP60" s="5">
        <v>0.27654867</v>
      </c>
      <c r="AQ60" s="1">
        <v>0.3</v>
      </c>
      <c r="AR60" s="4">
        <f>AP60-AQ60</f>
        <v>-2.3451329999999992E-2</v>
      </c>
      <c r="AS60" s="2">
        <v>37579</v>
      </c>
      <c r="AT60" s="5">
        <v>-38.026000000000003</v>
      </c>
      <c r="AU60" s="1">
        <v>-38</v>
      </c>
      <c r="AV60" s="4">
        <f>AT60-AU60</f>
        <v>-2.6000000000003354E-2</v>
      </c>
      <c r="AW60" s="9">
        <v>37575</v>
      </c>
      <c r="AX60" s="4">
        <v>-0.80612426562222095</v>
      </c>
      <c r="AY60" s="6">
        <v>-0.3</v>
      </c>
      <c r="AZ60" s="4">
        <f>AX60-AY60</f>
        <v>-0.5061242656222209</v>
      </c>
    </row>
    <row r="61" spans="1:52" s="1" customFormat="1" x14ac:dyDescent="0.2">
      <c r="A61" s="2">
        <v>37596</v>
      </c>
      <c r="B61" s="1">
        <v>-40</v>
      </c>
      <c r="C61" s="1">
        <v>28</v>
      </c>
      <c r="D61" s="1">
        <f>B61-C61</f>
        <v>-68</v>
      </c>
      <c r="E61" s="2">
        <v>37596</v>
      </c>
      <c r="F61" s="1">
        <v>6</v>
      </c>
      <c r="G61" s="1">
        <v>5.8</v>
      </c>
      <c r="H61" s="1">
        <f>F61-G61</f>
        <v>0.20000000000000018</v>
      </c>
      <c r="I61" s="2">
        <v>37607</v>
      </c>
      <c r="J61" s="1">
        <v>0.15657620041754247</v>
      </c>
      <c r="K61" s="1">
        <v>0.2</v>
      </c>
      <c r="L61" s="4">
        <f>J61-K61</f>
        <v>-4.342379958245754E-2</v>
      </c>
      <c r="M61" s="2">
        <v>41208</v>
      </c>
      <c r="N61" s="4">
        <v>2.0137764014797943</v>
      </c>
      <c r="O61" s="1">
        <v>1.9</v>
      </c>
      <c r="P61" s="4">
        <f>N61-O61</f>
        <v>0.1137764014797944</v>
      </c>
      <c r="Q61" s="2">
        <v>38848</v>
      </c>
      <c r="R61" s="4">
        <v>0.48792652009475901</v>
      </c>
      <c r="S61" s="1">
        <v>0.7</v>
      </c>
      <c r="T61" s="4">
        <f>R61-S61</f>
        <v>-0.21207347990524095</v>
      </c>
      <c r="U61" s="2">
        <v>37623</v>
      </c>
      <c r="V61" s="1" t="s">
        <v>52</v>
      </c>
      <c r="W61" s="1" t="s">
        <v>52</v>
      </c>
      <c r="X61" s="1">
        <v>4.7</v>
      </c>
      <c r="Y61" s="2">
        <v>38196</v>
      </c>
      <c r="Z61" s="5">
        <v>0.74060446999999996</v>
      </c>
      <c r="AA61" s="1">
        <v>1.5</v>
      </c>
      <c r="AB61" s="1">
        <f>Z61-AA61</f>
        <v>-0.75939553000000004</v>
      </c>
      <c r="AC61" s="2">
        <v>38162</v>
      </c>
      <c r="AD61" s="5">
        <v>1.369</v>
      </c>
      <c r="AE61" s="6">
        <v>1.123</v>
      </c>
      <c r="AF61" s="7">
        <f>AD61-AE61</f>
        <v>0.246</v>
      </c>
      <c r="AG61" s="8">
        <v>37621</v>
      </c>
      <c r="AH61" s="6">
        <v>80.7</v>
      </c>
      <c r="AI61" s="1">
        <v>85.9</v>
      </c>
      <c r="AJ61" s="1">
        <f>AH61-AI61</f>
        <v>-5.2000000000000028</v>
      </c>
      <c r="AK61" s="2">
        <v>38597</v>
      </c>
      <c r="AL61" s="1">
        <v>0.18598884066955979</v>
      </c>
      <c r="AM61" s="1">
        <v>0.2</v>
      </c>
      <c r="AN61" s="4">
        <f>AL61-AM61</f>
        <v>-1.4011159330440226E-2</v>
      </c>
      <c r="AO61" s="2">
        <v>37607</v>
      </c>
      <c r="AP61" s="5">
        <v>0.11031440000000001</v>
      </c>
      <c r="AQ61" s="1">
        <v>0.1</v>
      </c>
      <c r="AR61" s="4">
        <f>AP61-AQ61</f>
        <v>1.0314400000000001E-2</v>
      </c>
      <c r="AS61" s="2">
        <v>37608</v>
      </c>
      <c r="AT61" s="5">
        <v>-35.066000000000003</v>
      </c>
      <c r="AU61" s="1">
        <v>-36.5</v>
      </c>
      <c r="AV61" s="4">
        <f>AT61-AU61</f>
        <v>1.4339999999999975</v>
      </c>
      <c r="AW61" s="9">
        <v>37607</v>
      </c>
      <c r="AX61" s="4">
        <v>0.12742307170937101</v>
      </c>
      <c r="AY61" s="6">
        <v>0.2</v>
      </c>
      <c r="AZ61" s="4">
        <f>AX61-AY61</f>
        <v>-7.2576928290629006E-2</v>
      </c>
    </row>
    <row r="62" spans="1:52" s="1" customFormat="1" x14ac:dyDescent="0.2">
      <c r="A62" s="2">
        <v>37631</v>
      </c>
      <c r="B62" s="1">
        <v>-101</v>
      </c>
      <c r="C62" s="1">
        <v>37</v>
      </c>
      <c r="D62" s="1">
        <f>B62-C62</f>
        <v>-138</v>
      </c>
      <c r="E62" s="2">
        <v>37631</v>
      </c>
      <c r="F62" s="1">
        <v>6</v>
      </c>
      <c r="G62" s="1">
        <v>6</v>
      </c>
      <c r="H62" s="1">
        <f>F62-G62</f>
        <v>0</v>
      </c>
      <c r="I62" s="2">
        <v>37637</v>
      </c>
      <c r="J62" s="1">
        <v>5.2110474205312306E-2</v>
      </c>
      <c r="K62" s="1">
        <v>0.2</v>
      </c>
      <c r="L62" s="4">
        <f>J62-K62</f>
        <v>-0.1478895257946877</v>
      </c>
      <c r="M62" s="2">
        <v>41304</v>
      </c>
      <c r="N62" s="4">
        <v>-0.14348617916853934</v>
      </c>
      <c r="O62" s="1">
        <v>1.1000000000000001</v>
      </c>
      <c r="P62" s="4">
        <f>N62-O62</f>
        <v>-1.2434861791685394</v>
      </c>
      <c r="Q62" s="2">
        <v>38881</v>
      </c>
      <c r="R62" s="4">
        <v>7.0065916915560897E-2</v>
      </c>
      <c r="S62" s="1">
        <v>0.1</v>
      </c>
      <c r="T62" s="4">
        <f>R62-S62</f>
        <v>-2.9934083084439109E-2</v>
      </c>
      <c r="U62" s="2">
        <v>37655</v>
      </c>
      <c r="V62" s="1" t="s">
        <v>52</v>
      </c>
      <c r="W62" s="1" t="s">
        <v>52</v>
      </c>
      <c r="X62" s="1">
        <v>-0.6</v>
      </c>
      <c r="Y62" s="2">
        <v>38224</v>
      </c>
      <c r="Z62" s="5">
        <v>1.6760067000000001</v>
      </c>
      <c r="AA62" s="1">
        <v>0.8</v>
      </c>
      <c r="AB62" s="1">
        <f>Z62-AA62</f>
        <v>0.87600670000000003</v>
      </c>
      <c r="AC62" s="2">
        <v>38195</v>
      </c>
      <c r="AD62" s="5">
        <v>1.3260000000000001</v>
      </c>
      <c r="AE62" s="6">
        <v>1.2549999999999999</v>
      </c>
      <c r="AF62" s="7">
        <f>AD62-AE62</f>
        <v>7.1000000000000174E-2</v>
      </c>
      <c r="AG62" s="8">
        <v>37649</v>
      </c>
      <c r="AH62" s="6">
        <v>78.8</v>
      </c>
      <c r="AI62" s="1">
        <v>79</v>
      </c>
      <c r="AJ62" s="1">
        <f>AH62-AI62</f>
        <v>-0.20000000000000284</v>
      </c>
      <c r="AK62" s="2">
        <v>38632</v>
      </c>
      <c r="AL62" s="1">
        <v>0.12376237623761277</v>
      </c>
      <c r="AM62" s="1">
        <v>0.3</v>
      </c>
      <c r="AN62" s="4">
        <f>AL62-AM62</f>
        <v>-0.17623762376238722</v>
      </c>
      <c r="AO62" s="2">
        <v>37637</v>
      </c>
      <c r="AP62" s="5">
        <v>5.509642E-2</v>
      </c>
      <c r="AQ62" s="1">
        <v>0.2</v>
      </c>
      <c r="AR62" s="4">
        <f>AP62-AQ62</f>
        <v>-0.14490358</v>
      </c>
      <c r="AS62" s="2">
        <v>37638</v>
      </c>
      <c r="AT62" s="5">
        <v>-40.097000000000001</v>
      </c>
      <c r="AU62" s="1">
        <v>-36.799999999999997</v>
      </c>
      <c r="AV62" s="4">
        <f>AT62-AU62</f>
        <v>-3.2970000000000041</v>
      </c>
      <c r="AW62" s="9">
        <v>37638</v>
      </c>
      <c r="AX62" s="4">
        <v>-0.18500636241392501</v>
      </c>
      <c r="AY62" s="6">
        <v>0.3</v>
      </c>
      <c r="AZ62" s="4">
        <f>AX62-AY62</f>
        <v>-0.48500636241392503</v>
      </c>
    </row>
    <row r="63" spans="1:52" s="1" customFormat="1" x14ac:dyDescent="0.2">
      <c r="A63" s="2">
        <v>37659</v>
      </c>
      <c r="B63" s="1">
        <v>143</v>
      </c>
      <c r="C63" s="1">
        <v>75</v>
      </c>
      <c r="D63" s="1">
        <f>B63-C63</f>
        <v>68</v>
      </c>
      <c r="E63" s="2">
        <v>37659</v>
      </c>
      <c r="F63" s="1">
        <v>5.7</v>
      </c>
      <c r="G63" s="1">
        <v>6</v>
      </c>
      <c r="H63" s="1">
        <f>F63-G63</f>
        <v>-0.29999999999999982</v>
      </c>
      <c r="I63" s="2">
        <v>37673</v>
      </c>
      <c r="J63" s="1">
        <v>0.15625000000000594</v>
      </c>
      <c r="K63" s="1">
        <v>0.2</v>
      </c>
      <c r="L63" s="4">
        <f>J63-K63</f>
        <v>-4.3749999999994071E-2</v>
      </c>
      <c r="M63" s="2">
        <v>41390</v>
      </c>
      <c r="N63" s="4">
        <v>2.5023996973169593</v>
      </c>
      <c r="O63" s="1">
        <v>3</v>
      </c>
      <c r="P63" s="4">
        <f>N63-O63</f>
        <v>-0.49760030268304067</v>
      </c>
      <c r="Q63" s="2">
        <v>38912</v>
      </c>
      <c r="R63" s="4">
        <v>-8.1844747654516298E-2</v>
      </c>
      <c r="S63" s="1">
        <v>0.4</v>
      </c>
      <c r="T63" s="4">
        <f>R63-S63</f>
        <v>-0.48184474765451635</v>
      </c>
      <c r="U63" s="2">
        <v>37683</v>
      </c>
      <c r="V63" s="1" t="s">
        <v>52</v>
      </c>
      <c r="W63" s="1" t="s">
        <v>52</v>
      </c>
      <c r="X63" s="1">
        <v>-1.9</v>
      </c>
      <c r="Y63" s="2">
        <v>38254</v>
      </c>
      <c r="Z63" s="5">
        <v>-0.45701419999999998</v>
      </c>
      <c r="AA63" s="1">
        <v>0.1</v>
      </c>
      <c r="AB63" s="1">
        <f>Z63-AA63</f>
        <v>-0.55701420000000001</v>
      </c>
      <c r="AC63" s="2">
        <v>38224</v>
      </c>
      <c r="AD63" s="5">
        <v>1.1339999999999999</v>
      </c>
      <c r="AE63" s="6">
        <v>1.29</v>
      </c>
      <c r="AF63" s="7">
        <f>AD63-AE63</f>
        <v>-0.15600000000000014</v>
      </c>
      <c r="AG63" s="8">
        <v>37677</v>
      </c>
      <c r="AH63" s="6">
        <v>64.8</v>
      </c>
      <c r="AI63" s="1">
        <v>76.5</v>
      </c>
      <c r="AJ63" s="1">
        <f>AH63-AI63</f>
        <v>-11.700000000000003</v>
      </c>
      <c r="AK63" s="2">
        <v>38660</v>
      </c>
      <c r="AL63" s="1">
        <v>0.55624227441284368</v>
      </c>
      <c r="AM63" s="1">
        <v>0.2</v>
      </c>
      <c r="AN63" s="4">
        <f>AL63-AM63</f>
        <v>0.35624227441284367</v>
      </c>
      <c r="AO63" s="2">
        <v>37673</v>
      </c>
      <c r="AP63" s="5">
        <v>0.33039647999999999</v>
      </c>
      <c r="AQ63" s="1">
        <v>0.3</v>
      </c>
      <c r="AR63" s="4">
        <f>AP63-AQ63</f>
        <v>3.0396480000000003E-2</v>
      </c>
      <c r="AS63" s="2">
        <v>37672</v>
      </c>
      <c r="AT63" s="5">
        <v>-44.241999999999997</v>
      </c>
      <c r="AU63" s="1">
        <v>-38.5</v>
      </c>
      <c r="AV63" s="4">
        <f>AT63-AU63</f>
        <v>-5.7419999999999973</v>
      </c>
      <c r="AW63" s="9">
        <v>37666</v>
      </c>
      <c r="AX63" s="4">
        <v>0.73423435672912396</v>
      </c>
      <c r="AY63" s="6">
        <v>0.3</v>
      </c>
      <c r="AZ63" s="4">
        <f>AX63-AY63</f>
        <v>0.43423435672912397</v>
      </c>
    </row>
    <row r="64" spans="1:52" s="1" customFormat="1" x14ac:dyDescent="0.2">
      <c r="A64" s="2">
        <v>37687</v>
      </c>
      <c r="B64" s="1">
        <v>-308</v>
      </c>
      <c r="C64" s="1">
        <v>22</v>
      </c>
      <c r="D64" s="1">
        <f>B64-C64</f>
        <v>-330</v>
      </c>
      <c r="E64" s="2">
        <v>37687</v>
      </c>
      <c r="F64" s="1">
        <v>5.8</v>
      </c>
      <c r="G64" s="1">
        <v>5.8</v>
      </c>
      <c r="H64" s="1">
        <f>F64-G64</f>
        <v>0</v>
      </c>
      <c r="I64" s="2">
        <v>37701</v>
      </c>
      <c r="J64" s="1">
        <v>0.10400416016640075</v>
      </c>
      <c r="K64" s="1">
        <v>0.2</v>
      </c>
      <c r="L64" s="4">
        <f>J64-K64</f>
        <v>-9.5995839833599259E-2</v>
      </c>
      <c r="M64" s="2">
        <v>41486</v>
      </c>
      <c r="N64" s="4">
        <v>1.6736578785802703</v>
      </c>
      <c r="O64" s="1">
        <v>1</v>
      </c>
      <c r="P64" s="4">
        <f>N64-O64</f>
        <v>0.67365787858027026</v>
      </c>
      <c r="Q64" s="2">
        <v>38940</v>
      </c>
      <c r="R64" s="4">
        <v>1.39635245291754</v>
      </c>
      <c r="S64" s="1">
        <v>0.8</v>
      </c>
      <c r="T64" s="4">
        <f>R64-S64</f>
        <v>0.59635245291753991</v>
      </c>
      <c r="U64" s="2">
        <v>37712</v>
      </c>
      <c r="V64" s="1" t="s">
        <v>52</v>
      </c>
      <c r="W64" s="1" t="s">
        <v>52</v>
      </c>
      <c r="X64" s="1">
        <v>-2.6</v>
      </c>
      <c r="Y64" s="2">
        <v>38287</v>
      </c>
      <c r="Z64" s="5">
        <v>0.21353625000000001</v>
      </c>
      <c r="AA64" s="1">
        <v>0.5</v>
      </c>
      <c r="AB64" s="1">
        <f>Z64-AA64</f>
        <v>-0.28646375000000002</v>
      </c>
      <c r="AC64" s="2">
        <v>38257</v>
      </c>
      <c r="AD64" s="5">
        <v>1.1839999999999999</v>
      </c>
      <c r="AE64" s="6">
        <v>1.1779999999999999</v>
      </c>
      <c r="AF64" s="7">
        <f>AD64-AE64</f>
        <v>6.0000000000000053E-3</v>
      </c>
      <c r="AG64" s="8">
        <v>37705</v>
      </c>
      <c r="AH64" s="6">
        <v>61.4</v>
      </c>
      <c r="AI64" s="1">
        <v>62.5</v>
      </c>
      <c r="AJ64" s="1">
        <f>AH64-AI64</f>
        <v>-1.1000000000000014</v>
      </c>
      <c r="AK64" s="2">
        <v>38688</v>
      </c>
      <c r="AL64" s="1">
        <v>0.30731407498463259</v>
      </c>
      <c r="AM64" s="1">
        <v>0.2</v>
      </c>
      <c r="AN64" s="4">
        <f>AL64-AM64</f>
        <v>0.10731407498463258</v>
      </c>
      <c r="AO64" s="2">
        <v>37701</v>
      </c>
      <c r="AP64" s="5">
        <v>0.60373215999999996</v>
      </c>
      <c r="AQ64" s="1">
        <v>0.5</v>
      </c>
      <c r="AR64" s="4">
        <f>AP64-AQ64</f>
        <v>0.10373215999999996</v>
      </c>
      <c r="AS64" s="2">
        <v>37692</v>
      </c>
      <c r="AT64" s="5">
        <v>-41.115000000000002</v>
      </c>
      <c r="AU64" s="1">
        <v>-43.7</v>
      </c>
      <c r="AV64" s="4">
        <f>AT64-AU64</f>
        <v>2.5850000000000009</v>
      </c>
      <c r="AW64" s="9">
        <v>37694</v>
      </c>
      <c r="AX64" s="4">
        <v>0.12345567760946501</v>
      </c>
      <c r="AY64" s="6">
        <v>0</v>
      </c>
      <c r="AZ64" s="4">
        <f>AX64-AY64</f>
        <v>0.12345567760946501</v>
      </c>
    </row>
    <row r="65" spans="1:52" s="1" customFormat="1" x14ac:dyDescent="0.2">
      <c r="A65" s="2">
        <v>37715</v>
      </c>
      <c r="B65" s="1">
        <v>-108</v>
      </c>
      <c r="C65" s="1">
        <v>-25</v>
      </c>
      <c r="D65" s="1">
        <f>B65-C65</f>
        <v>-83</v>
      </c>
      <c r="E65" s="2">
        <v>37715</v>
      </c>
      <c r="F65" s="1">
        <v>5.8</v>
      </c>
      <c r="G65" s="1">
        <v>5.9</v>
      </c>
      <c r="H65" s="1">
        <f>F65-G65</f>
        <v>-0.10000000000000053</v>
      </c>
      <c r="I65" s="2">
        <v>37727</v>
      </c>
      <c r="J65" s="1">
        <v>0</v>
      </c>
      <c r="K65" s="1">
        <v>0.2</v>
      </c>
      <c r="L65" s="4">
        <f>J65-K65</f>
        <v>-0.2</v>
      </c>
      <c r="M65" s="2">
        <v>41585</v>
      </c>
      <c r="N65" s="4">
        <v>2.8462652781616082</v>
      </c>
      <c r="O65" s="1">
        <v>2</v>
      </c>
      <c r="P65" s="4">
        <f>N65-O65</f>
        <v>0.84626527816160824</v>
      </c>
      <c r="Q65" s="2">
        <v>38974</v>
      </c>
      <c r="R65" s="4">
        <v>0.24009734559045701</v>
      </c>
      <c r="S65" s="1">
        <v>-0.2</v>
      </c>
      <c r="T65" s="4">
        <f>R65-S65</f>
        <v>0.44009734559045699</v>
      </c>
      <c r="U65" s="2">
        <v>37742</v>
      </c>
      <c r="V65" s="1" t="s">
        <v>52</v>
      </c>
      <c r="W65" s="1" t="s">
        <v>52</v>
      </c>
      <c r="X65" s="1">
        <v>-1.6</v>
      </c>
      <c r="Y65" s="2">
        <v>38315</v>
      </c>
      <c r="Z65" s="5">
        <v>-0.43817610000000001</v>
      </c>
      <c r="AA65" s="1">
        <v>0.2</v>
      </c>
      <c r="AB65" s="1">
        <f>Z65-AA65</f>
        <v>-0.63817610000000002</v>
      </c>
      <c r="AC65" s="2">
        <v>38287</v>
      </c>
      <c r="AD65" s="5">
        <v>1.206</v>
      </c>
      <c r="AE65" s="6">
        <v>1.145</v>
      </c>
      <c r="AF65" s="7">
        <f>AD65-AE65</f>
        <v>6.0999999999999943E-2</v>
      </c>
      <c r="AG65" s="8">
        <v>37740</v>
      </c>
      <c r="AH65" s="6">
        <v>81</v>
      </c>
      <c r="AI65" s="1">
        <v>70</v>
      </c>
      <c r="AJ65" s="1">
        <f>AH65-AI65</f>
        <v>11</v>
      </c>
      <c r="AK65" s="2">
        <v>38723</v>
      </c>
      <c r="AL65" s="1">
        <v>0.1225490196078427</v>
      </c>
      <c r="AM65" s="1">
        <v>0.2</v>
      </c>
      <c r="AN65" s="4">
        <f>AL65-AM65</f>
        <v>-7.7450980392157309E-2</v>
      </c>
      <c r="AO65" s="2">
        <v>37727</v>
      </c>
      <c r="AP65" s="5">
        <v>0.32733224</v>
      </c>
      <c r="AQ65" s="1">
        <v>0.4</v>
      </c>
      <c r="AR65" s="4">
        <f>AP65-AQ65</f>
        <v>-7.2667760000000026E-2</v>
      </c>
      <c r="AS65" s="2">
        <v>37721</v>
      </c>
      <c r="AT65" s="5">
        <v>-40.323</v>
      </c>
      <c r="AU65" s="1">
        <v>-42</v>
      </c>
      <c r="AV65" s="4">
        <f>AT65-AU65</f>
        <v>1.6769999999999996</v>
      </c>
      <c r="AW65" s="9">
        <v>37726</v>
      </c>
      <c r="AX65" s="4">
        <v>-0.50946668593726696</v>
      </c>
      <c r="AY65" s="6">
        <v>-0.2</v>
      </c>
      <c r="AZ65" s="4">
        <f>AX65-AY65</f>
        <v>-0.30946668593726695</v>
      </c>
    </row>
    <row r="66" spans="1:52" s="1" customFormat="1" x14ac:dyDescent="0.2">
      <c r="A66" s="2">
        <v>37743</v>
      </c>
      <c r="B66" s="1">
        <v>-48</v>
      </c>
      <c r="C66" s="1">
        <v>-75</v>
      </c>
      <c r="D66" s="1">
        <f>B66-C66</f>
        <v>27</v>
      </c>
      <c r="E66" s="2">
        <v>37743</v>
      </c>
      <c r="F66" s="1">
        <v>6</v>
      </c>
      <c r="G66" s="1">
        <v>5.9</v>
      </c>
      <c r="H66" s="1">
        <f>F66-G66</f>
        <v>9.9999999999999645E-2</v>
      </c>
      <c r="I66" s="2">
        <v>37757</v>
      </c>
      <c r="J66" s="1">
        <v>0</v>
      </c>
      <c r="K66" s="1">
        <v>0.1</v>
      </c>
      <c r="L66" s="4">
        <f>J66-K66</f>
        <v>-0.1</v>
      </c>
      <c r="M66" s="2">
        <v>41669</v>
      </c>
      <c r="N66" s="4">
        <v>3.2278873406731856</v>
      </c>
      <c r="O66" s="1">
        <v>3.2</v>
      </c>
      <c r="P66" s="4">
        <f>N66-O66</f>
        <v>2.7887340673185435E-2</v>
      </c>
      <c r="Q66" s="2">
        <v>39003</v>
      </c>
      <c r="R66" s="4">
        <v>-0.426936715469793</v>
      </c>
      <c r="S66" s="1">
        <v>0.2</v>
      </c>
      <c r="T66" s="4">
        <f>R66-S66</f>
        <v>-0.62693671546979302</v>
      </c>
      <c r="U66" s="2">
        <v>37774</v>
      </c>
      <c r="V66" s="1" t="s">
        <v>52</v>
      </c>
      <c r="W66" s="1" t="s">
        <v>52</v>
      </c>
      <c r="X66" s="1">
        <v>1.1000000000000001</v>
      </c>
      <c r="Y66" s="2">
        <v>38344</v>
      </c>
      <c r="Z66" s="5">
        <v>1.6022971699999999</v>
      </c>
      <c r="AA66" s="1">
        <v>0.7</v>
      </c>
      <c r="AB66" s="1">
        <f>Z66-AA66</f>
        <v>0.90229716999999998</v>
      </c>
      <c r="AC66" s="2">
        <v>38315</v>
      </c>
      <c r="AD66" s="5">
        <v>1.226</v>
      </c>
      <c r="AE66" s="6">
        <v>1.2</v>
      </c>
      <c r="AF66" s="7">
        <f>AD66-AE66</f>
        <v>2.6000000000000023E-2</v>
      </c>
      <c r="AG66" s="8">
        <v>37768</v>
      </c>
      <c r="AH66" s="6">
        <v>83.6</v>
      </c>
      <c r="AI66" s="1">
        <v>82.8</v>
      </c>
      <c r="AJ66" s="1">
        <f>AH66-AI66</f>
        <v>0.79999999999999716</v>
      </c>
      <c r="AK66" s="2">
        <v>38751</v>
      </c>
      <c r="AL66" s="1">
        <v>0.42839657282742749</v>
      </c>
      <c r="AM66" s="1">
        <v>0.3</v>
      </c>
      <c r="AN66" s="4">
        <f>AL66-AM66</f>
        <v>0.1283965728274275</v>
      </c>
      <c r="AO66" s="2">
        <v>37757</v>
      </c>
      <c r="AP66" s="5">
        <v>-0.32626430000000001</v>
      </c>
      <c r="AQ66" s="1">
        <v>-0.2</v>
      </c>
      <c r="AR66" s="4">
        <f>AP66-AQ66</f>
        <v>-0.1262643</v>
      </c>
      <c r="AS66" s="2">
        <v>37754</v>
      </c>
      <c r="AT66" s="5">
        <v>-43.456000000000003</v>
      </c>
      <c r="AU66" s="1">
        <v>-41</v>
      </c>
      <c r="AV66" s="4">
        <f>AT66-AU66</f>
        <v>-2.4560000000000031</v>
      </c>
      <c r="AW66" s="9">
        <v>37756</v>
      </c>
      <c r="AX66" s="4">
        <v>-0.481004846350717</v>
      </c>
      <c r="AY66" s="6">
        <v>-0.4</v>
      </c>
      <c r="AZ66" s="4">
        <f>AX66-AY66</f>
        <v>-8.1004846350716975E-2</v>
      </c>
    </row>
    <row r="67" spans="1:52" s="1" customFormat="1" x14ac:dyDescent="0.2">
      <c r="A67" s="2">
        <v>37778</v>
      </c>
      <c r="B67" s="1">
        <v>-17</v>
      </c>
      <c r="C67" s="1">
        <v>-25</v>
      </c>
      <c r="D67" s="1">
        <f>B67-C67</f>
        <v>8</v>
      </c>
      <c r="E67" s="2">
        <v>37778</v>
      </c>
      <c r="F67" s="1">
        <v>6.1</v>
      </c>
      <c r="G67" s="1">
        <v>6.1</v>
      </c>
      <c r="H67" s="1">
        <f>F67-G67</f>
        <v>0</v>
      </c>
      <c r="I67" s="2">
        <v>37789</v>
      </c>
      <c r="J67" s="1">
        <v>0.25974025974025972</v>
      </c>
      <c r="K67" s="1">
        <v>0.1</v>
      </c>
      <c r="L67" s="4">
        <f>J67-K67</f>
        <v>0.15974025974025971</v>
      </c>
      <c r="M67" s="2">
        <v>41759</v>
      </c>
      <c r="N67" s="4">
        <v>0.10793273302307504</v>
      </c>
      <c r="O67" s="1">
        <v>1.2</v>
      </c>
      <c r="P67" s="4">
        <f>N67-O67</f>
        <v>-1.0920672669769249</v>
      </c>
      <c r="Q67" s="2">
        <v>39035</v>
      </c>
      <c r="R67" s="4">
        <v>-0.22195883472983499</v>
      </c>
      <c r="S67" s="1">
        <v>-0.4</v>
      </c>
      <c r="T67" s="4">
        <f>R67-S67</f>
        <v>0.17804116527016503</v>
      </c>
      <c r="U67" s="2">
        <v>37803</v>
      </c>
      <c r="V67" s="1" t="s">
        <v>52</v>
      </c>
      <c r="W67" s="1" t="s">
        <v>52</v>
      </c>
      <c r="X67" s="1">
        <v>-1.2</v>
      </c>
      <c r="Y67" s="2">
        <v>38379</v>
      </c>
      <c r="Z67" s="5">
        <v>0.62480223999999995</v>
      </c>
      <c r="AA67" s="1">
        <v>0.7</v>
      </c>
      <c r="AB67" s="1">
        <f>Z67-AA67</f>
        <v>-7.5197760000000002E-2</v>
      </c>
      <c r="AC67" s="2">
        <v>38344</v>
      </c>
      <c r="AD67" s="5">
        <v>1.125</v>
      </c>
      <c r="AE67" s="6">
        <v>1.2</v>
      </c>
      <c r="AF67" s="7">
        <f>AD67-AE67</f>
        <v>-7.4999999999999956E-2</v>
      </c>
      <c r="AG67" s="8">
        <v>37796</v>
      </c>
      <c r="AH67" s="6">
        <v>83.5</v>
      </c>
      <c r="AI67" s="1">
        <v>82.3</v>
      </c>
      <c r="AJ67" s="1">
        <f>AH67-AI67</f>
        <v>1.2000000000000028</v>
      </c>
      <c r="AK67" s="2">
        <v>38786</v>
      </c>
      <c r="AL67" s="1">
        <v>0.36563071297988081</v>
      </c>
      <c r="AM67" s="1">
        <v>0.3</v>
      </c>
      <c r="AN67" s="4">
        <f>AL67-AM67</f>
        <v>6.5630712979880823E-2</v>
      </c>
      <c r="AO67" s="2">
        <v>37789</v>
      </c>
      <c r="AP67" s="5">
        <v>0</v>
      </c>
      <c r="AQ67" s="1">
        <v>-0.1</v>
      </c>
      <c r="AR67" s="4">
        <f>AP67-AQ67</f>
        <v>0.1</v>
      </c>
      <c r="AS67" s="2">
        <v>37785</v>
      </c>
      <c r="AT67" s="5">
        <v>-42.027999999999999</v>
      </c>
      <c r="AU67" s="1">
        <v>-42</v>
      </c>
      <c r="AV67" s="4">
        <f>AT67-AU67</f>
        <v>-2.7999999999998693E-2</v>
      </c>
      <c r="AW67" s="9">
        <v>37789</v>
      </c>
      <c r="AX67" s="4">
        <v>0.12975027640463399</v>
      </c>
      <c r="AY67" s="6">
        <v>0</v>
      </c>
      <c r="AZ67" s="4">
        <f>AX67-AY67</f>
        <v>0.12975027640463399</v>
      </c>
    </row>
    <row r="68" spans="1:52" s="1" customFormat="1" x14ac:dyDescent="0.2">
      <c r="A68" s="2">
        <v>37805</v>
      </c>
      <c r="B68" s="1">
        <v>-30</v>
      </c>
      <c r="C68" s="1">
        <v>0</v>
      </c>
      <c r="D68" s="1">
        <f>B68-C68</f>
        <v>-30</v>
      </c>
      <c r="E68" s="2">
        <v>37805</v>
      </c>
      <c r="F68" s="1">
        <v>6.4</v>
      </c>
      <c r="G68" s="1">
        <v>6.1</v>
      </c>
      <c r="H68" s="1">
        <f>F68-G68</f>
        <v>0.30000000000000071</v>
      </c>
      <c r="I68" s="2">
        <v>37818</v>
      </c>
      <c r="J68" s="1">
        <v>0</v>
      </c>
      <c r="K68" s="1">
        <v>0.1</v>
      </c>
      <c r="L68" s="4">
        <f>J68-K68</f>
        <v>-0.1</v>
      </c>
      <c r="M68" s="2">
        <v>41850</v>
      </c>
      <c r="N68" s="4">
        <v>3.948069197213111</v>
      </c>
      <c r="O68" s="1">
        <v>3</v>
      </c>
      <c r="P68" s="4">
        <f>N68-O68</f>
        <v>0.948069197213111</v>
      </c>
      <c r="Q68" s="2">
        <v>39064</v>
      </c>
      <c r="R68" s="4">
        <v>1.03704718208587</v>
      </c>
      <c r="S68" s="1">
        <v>0.2</v>
      </c>
      <c r="T68" s="4">
        <f>R68-S68</f>
        <v>0.83704718208587003</v>
      </c>
      <c r="U68" s="2">
        <v>37834</v>
      </c>
      <c r="V68" s="1" t="s">
        <v>52</v>
      </c>
      <c r="W68" s="1" t="s">
        <v>52</v>
      </c>
      <c r="X68" s="1">
        <v>-0.1</v>
      </c>
      <c r="Y68" s="2">
        <v>38407</v>
      </c>
      <c r="Z68" s="5">
        <v>-0.86176620000000004</v>
      </c>
      <c r="AA68" s="1">
        <v>0</v>
      </c>
      <c r="AB68" s="1">
        <f>Z68-AA68</f>
        <v>-0.86176620000000004</v>
      </c>
      <c r="AC68" s="2">
        <v>38383</v>
      </c>
      <c r="AD68" s="5">
        <v>1.0980000000000001</v>
      </c>
      <c r="AE68" s="6">
        <v>1.22</v>
      </c>
      <c r="AF68" s="7">
        <f>AD68-AE68</f>
        <v>-0.12199999999999989</v>
      </c>
      <c r="AG68" s="8">
        <v>37831</v>
      </c>
      <c r="AH68" s="6">
        <v>77</v>
      </c>
      <c r="AI68" s="1">
        <v>85</v>
      </c>
      <c r="AJ68" s="1">
        <f>AH68-AI68</f>
        <v>-8</v>
      </c>
      <c r="AK68" s="2">
        <v>38814</v>
      </c>
      <c r="AL68" s="1">
        <v>0.12143290831814202</v>
      </c>
      <c r="AM68" s="1">
        <v>0.3</v>
      </c>
      <c r="AN68" s="4">
        <f>AL68-AM68</f>
        <v>-0.17856709168185797</v>
      </c>
      <c r="AO68" s="2">
        <v>37818</v>
      </c>
      <c r="AP68" s="5">
        <v>0.16366612</v>
      </c>
      <c r="AQ68" s="1">
        <v>0.2</v>
      </c>
      <c r="AR68" s="4">
        <f>AP68-AQ68</f>
        <v>-3.6333880000000013E-2</v>
      </c>
      <c r="AS68" s="2">
        <v>37813</v>
      </c>
      <c r="AT68" s="5">
        <v>-41.837000000000003</v>
      </c>
      <c r="AU68" s="1">
        <v>-41.7</v>
      </c>
      <c r="AV68" s="4">
        <f>AT68-AU68</f>
        <v>-0.13700000000000045</v>
      </c>
      <c r="AW68" s="9">
        <v>37818</v>
      </c>
      <c r="AX68" s="4">
        <v>8.5778945831502806E-2</v>
      </c>
      <c r="AY68" s="6">
        <v>-0.1</v>
      </c>
      <c r="AZ68" s="4">
        <f>AX68-AY68</f>
        <v>0.18577894583150281</v>
      </c>
    </row>
    <row r="69" spans="1:52" s="1" customFormat="1" x14ac:dyDescent="0.2">
      <c r="A69" s="2">
        <v>37834</v>
      </c>
      <c r="B69" s="1">
        <v>-44</v>
      </c>
      <c r="C69" s="1">
        <v>0</v>
      </c>
      <c r="D69" s="1">
        <f>B69-C69</f>
        <v>-44</v>
      </c>
      <c r="E69" s="2">
        <v>37834</v>
      </c>
      <c r="F69" s="1">
        <v>6.2</v>
      </c>
      <c r="G69" s="1">
        <v>6.3</v>
      </c>
      <c r="H69" s="1">
        <f>F69-G69</f>
        <v>-9.9999999999999645E-2</v>
      </c>
      <c r="I69" s="2">
        <v>37848</v>
      </c>
      <c r="J69" s="1">
        <v>0.20725388601036562</v>
      </c>
      <c r="K69" s="1">
        <v>0.1</v>
      </c>
      <c r="L69" s="4">
        <f>J69-K69</f>
        <v>0.10725388601036562</v>
      </c>
      <c r="M69" s="2">
        <v>41942</v>
      </c>
      <c r="N69" s="4">
        <v>3.5490014252322233</v>
      </c>
      <c r="O69" s="1">
        <v>3</v>
      </c>
      <c r="P69" s="4">
        <f>N69-O69</f>
        <v>0.54900142523222328</v>
      </c>
      <c r="Q69" s="2">
        <v>39094</v>
      </c>
      <c r="R69" s="4">
        <v>0.88153548644011803</v>
      </c>
      <c r="S69" s="1">
        <v>0.7</v>
      </c>
      <c r="T69" s="4">
        <f>R69-S69</f>
        <v>0.18153548644011808</v>
      </c>
      <c r="U69" s="2">
        <v>37866</v>
      </c>
      <c r="V69" s="1" t="s">
        <v>52</v>
      </c>
      <c r="W69" s="1" t="s">
        <v>52</v>
      </c>
      <c r="X69" s="1">
        <v>1.2</v>
      </c>
      <c r="Y69" s="2">
        <v>38435</v>
      </c>
      <c r="Z69" s="5">
        <v>0.31621382999999997</v>
      </c>
      <c r="AA69" s="1">
        <v>0.8</v>
      </c>
      <c r="AB69" s="1">
        <f>Z69-AA69</f>
        <v>-0.48378617000000007</v>
      </c>
      <c r="AC69" s="2">
        <v>38411</v>
      </c>
      <c r="AD69" s="5">
        <v>1.1060000000000001</v>
      </c>
      <c r="AE69" s="6">
        <v>1.1499999999999999</v>
      </c>
      <c r="AF69" s="7">
        <f>AD69-AE69</f>
        <v>-4.3999999999999817E-2</v>
      </c>
      <c r="AG69" s="8">
        <v>37859</v>
      </c>
      <c r="AH69" s="6">
        <v>81.7</v>
      </c>
      <c r="AI69" s="1">
        <v>80</v>
      </c>
      <c r="AJ69" s="1">
        <f>AH69-AI69</f>
        <v>1.7000000000000028</v>
      </c>
      <c r="AK69" s="2">
        <v>38842</v>
      </c>
      <c r="AL69" s="1">
        <v>0.72771376591873604</v>
      </c>
      <c r="AM69" s="1">
        <v>0.3</v>
      </c>
      <c r="AN69" s="4">
        <f>AL69-AM69</f>
        <v>0.42771376591873606</v>
      </c>
      <c r="AO69" s="2">
        <v>37848</v>
      </c>
      <c r="AP69" s="5">
        <v>0.16339869000000001</v>
      </c>
      <c r="AQ69" s="1">
        <v>0.2</v>
      </c>
      <c r="AR69" s="4">
        <f>AP69-AQ69</f>
        <v>-3.6601309999999998E-2</v>
      </c>
      <c r="AS69" s="2">
        <v>37847</v>
      </c>
      <c r="AT69" s="5">
        <v>-39.548999999999999</v>
      </c>
      <c r="AU69" s="1">
        <v>-42</v>
      </c>
      <c r="AV69" s="4">
        <f>AT69-AU69</f>
        <v>2.4510000000000005</v>
      </c>
      <c r="AW69" s="9">
        <v>37848</v>
      </c>
      <c r="AX69" s="4">
        <v>0.46930781662300097</v>
      </c>
      <c r="AY69" s="6">
        <v>0.1</v>
      </c>
      <c r="AZ69" s="4">
        <f>AX69-AY69</f>
        <v>0.36930781662300094</v>
      </c>
    </row>
    <row r="70" spans="1:52" s="1" customFormat="1" x14ac:dyDescent="0.2">
      <c r="A70" s="2">
        <v>37869</v>
      </c>
      <c r="B70" s="1">
        <v>-93</v>
      </c>
      <c r="C70" s="1">
        <v>5</v>
      </c>
      <c r="D70" s="1">
        <f>B70-C70</f>
        <v>-98</v>
      </c>
      <c r="E70" s="2">
        <v>37869</v>
      </c>
      <c r="F70" s="1">
        <v>6.1</v>
      </c>
      <c r="G70" s="1">
        <v>6.2</v>
      </c>
      <c r="H70" s="1">
        <f>F70-G70</f>
        <v>-0.10000000000000053</v>
      </c>
      <c r="I70" s="2">
        <v>37880</v>
      </c>
      <c r="J70" s="1">
        <v>0.1034126163391875</v>
      </c>
      <c r="K70" s="1">
        <v>0.2</v>
      </c>
      <c r="L70" s="4">
        <f>J70-K70</f>
        <v>-9.6587383660812515E-2</v>
      </c>
      <c r="M70" s="2">
        <v>42034</v>
      </c>
      <c r="N70" s="4">
        <v>2.6421620521699163</v>
      </c>
      <c r="O70" s="1">
        <v>3</v>
      </c>
      <c r="P70" s="4">
        <f>N70-O70</f>
        <v>-0.35783794783008371</v>
      </c>
      <c r="Q70" s="2">
        <v>39127</v>
      </c>
      <c r="R70" s="4">
        <v>-7.8283803081142505E-3</v>
      </c>
      <c r="S70" s="1">
        <v>0.4</v>
      </c>
      <c r="T70" s="4">
        <f>R70-S70</f>
        <v>-0.40782838030811425</v>
      </c>
      <c r="U70" s="2">
        <v>37895</v>
      </c>
      <c r="V70" s="1" t="s">
        <v>52</v>
      </c>
      <c r="W70" s="1" t="s">
        <v>52</v>
      </c>
      <c r="X70" s="1">
        <v>-2.7</v>
      </c>
      <c r="Y70" s="2">
        <v>38469</v>
      </c>
      <c r="Z70" s="5">
        <v>-2.8197936000000001</v>
      </c>
      <c r="AA70" s="1">
        <v>0.2</v>
      </c>
      <c r="AB70" s="1">
        <f>Z70-AA70</f>
        <v>-3.0197936000000003</v>
      </c>
      <c r="AC70" s="2">
        <v>38435</v>
      </c>
      <c r="AD70" s="5">
        <v>1.226</v>
      </c>
      <c r="AE70" s="6">
        <v>1.1499999999999999</v>
      </c>
      <c r="AF70" s="7">
        <f>AD70-AE70</f>
        <v>7.6000000000000068E-2</v>
      </c>
      <c r="AG70" s="8">
        <v>37894</v>
      </c>
      <c r="AH70" s="6">
        <v>77</v>
      </c>
      <c r="AI70" s="1">
        <v>82</v>
      </c>
      <c r="AJ70" s="1">
        <f>AH70-AI70</f>
        <v>-5</v>
      </c>
      <c r="AK70" s="2">
        <v>38870</v>
      </c>
      <c r="AL70" s="1">
        <v>6.0204695966303845E-2</v>
      </c>
      <c r="AM70" s="1">
        <v>0.3</v>
      </c>
      <c r="AN70" s="4">
        <f>AL70-AM70</f>
        <v>-0.23979530403369614</v>
      </c>
      <c r="AO70" s="2">
        <v>37880</v>
      </c>
      <c r="AP70" s="5">
        <v>0.32626427000000002</v>
      </c>
      <c r="AQ70" s="1">
        <v>0.4</v>
      </c>
      <c r="AR70" s="4">
        <f>AP70-AQ70</f>
        <v>-7.3735729999999999E-2</v>
      </c>
      <c r="AS70" s="2">
        <v>37875</v>
      </c>
      <c r="AT70" s="5">
        <v>-40.323</v>
      </c>
      <c r="AU70" s="1">
        <v>-40.5</v>
      </c>
      <c r="AV70" s="4">
        <f>AT70-AU70</f>
        <v>0.1769999999999996</v>
      </c>
      <c r="AW70" s="9">
        <v>37879</v>
      </c>
      <c r="AX70" s="4">
        <v>7.0822172787931806E-2</v>
      </c>
      <c r="AY70" s="6">
        <v>0.2</v>
      </c>
      <c r="AZ70" s="4">
        <f>AX70-AY70</f>
        <v>-0.12917782721206822</v>
      </c>
    </row>
    <row r="71" spans="1:52" s="1" customFormat="1" x14ac:dyDescent="0.2">
      <c r="A71" s="2">
        <v>37897</v>
      </c>
      <c r="B71" s="1">
        <v>57</v>
      </c>
      <c r="C71" s="1">
        <v>-25</v>
      </c>
      <c r="D71" s="1">
        <f>B71-C71</f>
        <v>82</v>
      </c>
      <c r="E71" s="2">
        <v>37897</v>
      </c>
      <c r="F71" s="1">
        <v>6.1</v>
      </c>
      <c r="G71" s="1">
        <v>6.2</v>
      </c>
      <c r="H71" s="1">
        <f>F71-G71</f>
        <v>-0.10000000000000053</v>
      </c>
      <c r="I71" s="2">
        <v>37910</v>
      </c>
      <c r="J71" s="1">
        <v>5.1652892561980537E-2</v>
      </c>
      <c r="K71" s="1">
        <v>0.2</v>
      </c>
      <c r="L71" s="4">
        <f>J71-K71</f>
        <v>-0.14834710743801949</v>
      </c>
      <c r="M71" s="2">
        <v>42123</v>
      </c>
      <c r="N71" s="4">
        <v>0.24816398847755661</v>
      </c>
      <c r="O71" s="1">
        <v>1</v>
      </c>
      <c r="P71" s="4">
        <f>N71-O71</f>
        <v>-0.75183601152244339</v>
      </c>
      <c r="Q71" s="2">
        <v>39154</v>
      </c>
      <c r="R71" s="4">
        <v>8.8067882507719394E-2</v>
      </c>
      <c r="S71" s="1">
        <v>0.3</v>
      </c>
      <c r="T71" s="4">
        <f>R71-S71</f>
        <v>-0.21193211749228058</v>
      </c>
      <c r="U71" s="2">
        <v>37928</v>
      </c>
      <c r="V71" s="1" t="s">
        <v>52</v>
      </c>
      <c r="W71" s="1" t="s">
        <v>52</v>
      </c>
      <c r="X71" s="1">
        <v>1</v>
      </c>
      <c r="Y71" s="2">
        <v>38497</v>
      </c>
      <c r="Z71" s="5">
        <v>1.8856215599999999</v>
      </c>
      <c r="AA71" s="1">
        <v>1.2</v>
      </c>
      <c r="AB71" s="1">
        <f>Z71-AA71</f>
        <v>0.68562155999999996</v>
      </c>
      <c r="AC71" s="2">
        <v>38468</v>
      </c>
      <c r="AD71" s="5">
        <v>1.431</v>
      </c>
      <c r="AE71" s="6">
        <v>1.198</v>
      </c>
      <c r="AF71" s="7">
        <f>AD71-AE71</f>
        <v>0.2330000000000001</v>
      </c>
      <c r="AG71" s="8">
        <v>37922</v>
      </c>
      <c r="AH71" s="6">
        <v>81.7</v>
      </c>
      <c r="AI71" s="1">
        <v>79.599999999999994</v>
      </c>
      <c r="AJ71" s="1">
        <f>AH71-AI71</f>
        <v>2.1000000000000085</v>
      </c>
      <c r="AK71" s="2">
        <v>38905</v>
      </c>
      <c r="AL71" s="1">
        <v>0.48134777376653837</v>
      </c>
      <c r="AM71" s="1">
        <v>0.3</v>
      </c>
      <c r="AN71" s="4">
        <f>AL71-AM71</f>
        <v>0.18134777376653838</v>
      </c>
      <c r="AO71" s="2">
        <v>37910</v>
      </c>
      <c r="AP71" s="5">
        <v>0.27100270999999998</v>
      </c>
      <c r="AQ71" s="1">
        <v>0.3</v>
      </c>
      <c r="AR71" s="4">
        <f>AP71-AQ71</f>
        <v>-2.8997290000000009E-2</v>
      </c>
      <c r="AS71" s="2">
        <v>37904</v>
      </c>
      <c r="AT71" s="5">
        <v>-39.207000000000001</v>
      </c>
      <c r="AU71" s="1">
        <v>-41.5</v>
      </c>
      <c r="AV71" s="4">
        <f>AT71-AU71</f>
        <v>2.2929999999999993</v>
      </c>
      <c r="AW71" s="9">
        <v>37910</v>
      </c>
      <c r="AX71" s="4">
        <v>0.388476410042294</v>
      </c>
      <c r="AY71" s="6">
        <v>0.4</v>
      </c>
      <c r="AZ71" s="4">
        <f>AX71-AY71</f>
        <v>-1.1523589957706026E-2</v>
      </c>
    </row>
    <row r="72" spans="1:52" s="1" customFormat="1" x14ac:dyDescent="0.2">
      <c r="A72" s="2">
        <v>37932</v>
      </c>
      <c r="B72" s="1">
        <v>126</v>
      </c>
      <c r="C72" s="1">
        <v>50</v>
      </c>
      <c r="D72" s="1">
        <f>B72-C72</f>
        <v>76</v>
      </c>
      <c r="E72" s="2">
        <v>37932</v>
      </c>
      <c r="F72" s="1">
        <v>6</v>
      </c>
      <c r="G72" s="1">
        <v>6.1</v>
      </c>
      <c r="H72" s="1">
        <f>F72-G72</f>
        <v>-9.9999999999999645E-2</v>
      </c>
      <c r="I72" s="2">
        <v>37943</v>
      </c>
      <c r="J72" s="1">
        <v>0.20650490449148465</v>
      </c>
      <c r="K72" s="1">
        <v>0.2</v>
      </c>
      <c r="L72" s="4">
        <f>J72-K72</f>
        <v>6.5049044914846366E-3</v>
      </c>
      <c r="M72" s="2">
        <v>42215</v>
      </c>
      <c r="N72" s="4">
        <v>2.3219392733284661</v>
      </c>
      <c r="O72" s="1">
        <v>2.6</v>
      </c>
      <c r="P72" s="4">
        <f>N72-O72</f>
        <v>-0.27806072667153403</v>
      </c>
      <c r="Q72" s="2">
        <v>39188</v>
      </c>
      <c r="R72" s="4">
        <v>0.67656542119381102</v>
      </c>
      <c r="S72" s="1">
        <v>0.8</v>
      </c>
      <c r="T72" s="4">
        <f>R72-S72</f>
        <v>-0.12343457880618902</v>
      </c>
      <c r="U72" s="2">
        <v>37956</v>
      </c>
      <c r="V72" s="1" t="s">
        <v>52</v>
      </c>
      <c r="W72" s="1" t="s">
        <v>52</v>
      </c>
      <c r="X72" s="1">
        <v>5.3</v>
      </c>
      <c r="Y72" s="2">
        <v>38527</v>
      </c>
      <c r="Z72" s="5">
        <v>5.5122369000000004</v>
      </c>
      <c r="AA72" s="1">
        <v>1.6</v>
      </c>
      <c r="AB72" s="1">
        <f>Z72-AA72</f>
        <v>3.9122369000000004</v>
      </c>
      <c r="AC72" s="2">
        <v>38498</v>
      </c>
      <c r="AD72" s="5">
        <v>1.3160000000000001</v>
      </c>
      <c r="AE72" s="6">
        <v>1.33</v>
      </c>
      <c r="AF72" s="7">
        <f>AD72-AE72</f>
        <v>-1.4000000000000012E-2</v>
      </c>
      <c r="AG72" s="8">
        <v>37950</v>
      </c>
      <c r="AH72" s="6">
        <v>92.5</v>
      </c>
      <c r="AI72" s="1">
        <v>85</v>
      </c>
      <c r="AJ72" s="1">
        <f>AH72-AI72</f>
        <v>7.5</v>
      </c>
      <c r="AK72" s="2">
        <v>38933</v>
      </c>
      <c r="AL72" s="1">
        <v>0.359281437125758</v>
      </c>
      <c r="AM72" s="1">
        <v>0.3</v>
      </c>
      <c r="AN72" s="4">
        <f>AL72-AM72</f>
        <v>5.9281437125758008E-2</v>
      </c>
      <c r="AO72" s="2">
        <v>37943</v>
      </c>
      <c r="AP72" s="5">
        <v>0</v>
      </c>
      <c r="AQ72" s="1">
        <v>0.1</v>
      </c>
      <c r="AR72" s="4">
        <f>AP72-AQ72</f>
        <v>-0.1</v>
      </c>
      <c r="AS72" s="2">
        <v>37938</v>
      </c>
      <c r="AT72" s="5">
        <v>-41.271999999999998</v>
      </c>
      <c r="AU72" s="1">
        <v>-40.5</v>
      </c>
      <c r="AV72" s="4">
        <f>AT72-AU72</f>
        <v>-0.77199999999999847</v>
      </c>
      <c r="AW72" s="9">
        <v>37939</v>
      </c>
      <c r="AX72" s="4">
        <v>0.18647517101028099</v>
      </c>
      <c r="AY72" s="6">
        <v>0.2</v>
      </c>
      <c r="AZ72" s="4">
        <f>AX72-AY72</f>
        <v>-1.3524828989719018E-2</v>
      </c>
    </row>
    <row r="73" spans="1:52" s="1" customFormat="1" x14ac:dyDescent="0.2">
      <c r="A73" s="2">
        <v>37960</v>
      </c>
      <c r="B73" s="1">
        <v>57</v>
      </c>
      <c r="C73" s="1">
        <v>140</v>
      </c>
      <c r="D73" s="1">
        <f>B73-C73</f>
        <v>-83</v>
      </c>
      <c r="E73" s="2">
        <v>37960</v>
      </c>
      <c r="F73" s="1">
        <v>5.9</v>
      </c>
      <c r="G73" s="1">
        <v>6</v>
      </c>
      <c r="H73" s="1">
        <f>F73-G73</f>
        <v>-9.9999999999999645E-2</v>
      </c>
      <c r="I73" s="2">
        <v>37971</v>
      </c>
      <c r="J73" s="1">
        <v>-5.1519835136524639E-2</v>
      </c>
      <c r="K73" s="1">
        <v>0.1</v>
      </c>
      <c r="L73" s="4">
        <f>J73-K73</f>
        <v>-0.15151983513652464</v>
      </c>
      <c r="M73" s="2">
        <v>42306</v>
      </c>
      <c r="N73" s="4">
        <v>1.4923369492965355</v>
      </c>
      <c r="O73" s="1">
        <v>1.6</v>
      </c>
      <c r="P73" s="4">
        <f>N73-O73</f>
        <v>-0.1076630507034646</v>
      </c>
      <c r="Q73" s="2">
        <v>39213</v>
      </c>
      <c r="R73" s="4">
        <v>-0.22581233439534801</v>
      </c>
      <c r="S73" s="1">
        <v>0.3</v>
      </c>
      <c r="T73" s="4">
        <f>R73-S73</f>
        <v>-0.52581233439534802</v>
      </c>
      <c r="U73" s="2">
        <v>37988</v>
      </c>
      <c r="V73" s="1" t="s">
        <v>52</v>
      </c>
      <c r="W73" s="1" t="s">
        <v>52</v>
      </c>
      <c r="X73" s="1">
        <v>5.2</v>
      </c>
      <c r="Y73" s="2">
        <v>38560</v>
      </c>
      <c r="Z73" s="5">
        <v>1.3510016</v>
      </c>
      <c r="AA73" s="1">
        <v>-1.5</v>
      </c>
      <c r="AB73" s="1">
        <f>Z73-AA73</f>
        <v>2.8510016</v>
      </c>
      <c r="AC73" s="2">
        <v>38527</v>
      </c>
      <c r="AD73" s="5">
        <v>1.298</v>
      </c>
      <c r="AE73" s="6">
        <v>1.333</v>
      </c>
      <c r="AF73" s="7">
        <f>AD73-AE73</f>
        <v>-3.499999999999992E-2</v>
      </c>
      <c r="AG73" s="8">
        <v>37985</v>
      </c>
      <c r="AH73" s="6">
        <v>94.8</v>
      </c>
      <c r="AI73" s="1">
        <v>93.5</v>
      </c>
      <c r="AJ73" s="1">
        <f>AH73-AI73</f>
        <v>1.2999999999999972</v>
      </c>
      <c r="AK73" s="2">
        <v>38961</v>
      </c>
      <c r="AL73" s="1">
        <v>0.17899761336515052</v>
      </c>
      <c r="AM73" s="1">
        <v>0.3</v>
      </c>
      <c r="AN73" s="4">
        <f>AL73-AM73</f>
        <v>-0.12100238663484947</v>
      </c>
      <c r="AO73" s="2">
        <v>37971</v>
      </c>
      <c r="AP73" s="5">
        <v>-0.2162162</v>
      </c>
      <c r="AQ73" s="1">
        <v>0.1</v>
      </c>
      <c r="AR73" s="4">
        <f>AP73-AQ73</f>
        <v>-0.3162162</v>
      </c>
      <c r="AS73" s="2">
        <v>37967</v>
      </c>
      <c r="AT73" s="5">
        <v>-41.773000000000003</v>
      </c>
      <c r="AU73" s="1">
        <v>-41.3</v>
      </c>
      <c r="AV73" s="4">
        <f>AT73-AU73</f>
        <v>-0.47300000000000608</v>
      </c>
      <c r="AW73" s="9">
        <v>37971</v>
      </c>
      <c r="AX73" s="4">
        <v>0.89509040234402504</v>
      </c>
      <c r="AY73" s="6">
        <v>0.4</v>
      </c>
      <c r="AZ73" s="4">
        <f>AX73-AY73</f>
        <v>0.49509040234402502</v>
      </c>
    </row>
    <row r="74" spans="1:52" s="1" customFormat="1" x14ac:dyDescent="0.2">
      <c r="A74" s="2">
        <v>37995</v>
      </c>
      <c r="B74" s="1">
        <v>1</v>
      </c>
      <c r="C74" s="1">
        <v>127</v>
      </c>
      <c r="D74" s="1">
        <f>B74-C74</f>
        <v>-126</v>
      </c>
      <c r="E74" s="2">
        <v>37995</v>
      </c>
      <c r="F74" s="1">
        <v>5.7</v>
      </c>
      <c r="G74" s="1">
        <v>5.9</v>
      </c>
      <c r="H74" s="1">
        <f>F74-G74</f>
        <v>-0.20000000000000018</v>
      </c>
      <c r="I74" s="2">
        <v>38001</v>
      </c>
      <c r="J74" s="1">
        <v>0.10309278350514879</v>
      </c>
      <c r="K74" s="1">
        <v>0.1</v>
      </c>
      <c r="L74" s="4">
        <f>J74-K74</f>
        <v>3.0927835051487856E-3</v>
      </c>
      <c r="M74" s="2">
        <v>42398</v>
      </c>
      <c r="N74" s="4">
        <v>0.69144081436514071</v>
      </c>
      <c r="O74" s="1">
        <v>0.8</v>
      </c>
      <c r="P74" s="4">
        <f>N74-O74</f>
        <v>-0.10855918563485933</v>
      </c>
      <c r="Q74" s="2">
        <v>39246</v>
      </c>
      <c r="R74" s="4">
        <v>1.40997394204991</v>
      </c>
      <c r="S74" s="1">
        <v>0.7</v>
      </c>
      <c r="T74" s="4">
        <f>R74-S74</f>
        <v>0.70997394204991005</v>
      </c>
      <c r="U74" s="2">
        <v>38019</v>
      </c>
      <c r="V74" s="1" t="s">
        <v>52</v>
      </c>
      <c r="W74" s="1" t="s">
        <v>52</v>
      </c>
      <c r="X74" s="1">
        <v>-0.4</v>
      </c>
      <c r="Y74" s="2">
        <v>38588</v>
      </c>
      <c r="Z74" s="5">
        <v>-4.9098848000000004</v>
      </c>
      <c r="AA74" s="1">
        <v>-1</v>
      </c>
      <c r="AB74" s="1">
        <f>Z74-AA74</f>
        <v>-3.9098848000000004</v>
      </c>
      <c r="AC74" s="2">
        <v>38560</v>
      </c>
      <c r="AD74" s="5">
        <v>1.3740000000000001</v>
      </c>
      <c r="AE74" s="6">
        <v>1.2929999999999999</v>
      </c>
      <c r="AF74" s="7">
        <f>AD74-AE74</f>
        <v>8.1000000000000183E-2</v>
      </c>
      <c r="AG74" s="8">
        <v>38013</v>
      </c>
      <c r="AH74" s="6">
        <v>97.7</v>
      </c>
      <c r="AI74" s="1">
        <v>97.8</v>
      </c>
      <c r="AJ74" s="1">
        <f>AH74-AI74</f>
        <v>-9.9999999999994316E-2</v>
      </c>
      <c r="AK74" s="2">
        <v>38996</v>
      </c>
      <c r="AL74" s="1">
        <v>0.29779630732580387</v>
      </c>
      <c r="AM74" s="1">
        <v>0.3</v>
      </c>
      <c r="AN74" s="4">
        <f>AL74-AM74</f>
        <v>-2.2036926741961227E-3</v>
      </c>
      <c r="AO74" s="2">
        <v>38001</v>
      </c>
      <c r="AP74" s="5">
        <v>0.21668472</v>
      </c>
      <c r="AQ74" s="1">
        <v>0.2</v>
      </c>
      <c r="AR74" s="4">
        <f>AP74-AQ74</f>
        <v>1.6684719999999986E-2</v>
      </c>
      <c r="AS74" s="2">
        <v>38000</v>
      </c>
      <c r="AT74" s="5">
        <v>-38.01</v>
      </c>
      <c r="AU74" s="1">
        <v>-42</v>
      </c>
      <c r="AV74" s="4">
        <f>AT74-AU74</f>
        <v>3.990000000000002</v>
      </c>
      <c r="AW74" s="9">
        <v>38002</v>
      </c>
      <c r="AX74" s="4">
        <v>7.9577707631505096E-2</v>
      </c>
      <c r="AY74" s="6">
        <v>0.4</v>
      </c>
      <c r="AZ74" s="4">
        <f>AX74-AY74</f>
        <v>-0.32042229236849495</v>
      </c>
    </row>
    <row r="75" spans="1:52" s="1" customFormat="1" x14ac:dyDescent="0.2">
      <c r="A75" s="2">
        <v>38023</v>
      </c>
      <c r="B75" s="1">
        <v>112</v>
      </c>
      <c r="C75" s="1">
        <v>125</v>
      </c>
      <c r="D75" s="1">
        <f>B75-C75</f>
        <v>-13</v>
      </c>
      <c r="E75" s="2">
        <v>38023</v>
      </c>
      <c r="F75" s="1">
        <v>5.6</v>
      </c>
      <c r="G75" s="1">
        <v>5.7</v>
      </c>
      <c r="H75" s="1">
        <f>F75-G75</f>
        <v>-0.10000000000000053</v>
      </c>
      <c r="I75" s="2">
        <v>38037</v>
      </c>
      <c r="J75" s="1">
        <v>0.10298661174048251</v>
      </c>
      <c r="K75" s="1">
        <v>0.1</v>
      </c>
      <c r="L75" s="4">
        <f>J75-K75</f>
        <v>2.9866117404825088E-3</v>
      </c>
      <c r="M75" s="2">
        <v>42488</v>
      </c>
      <c r="N75" s="4">
        <v>0.5377951007624171</v>
      </c>
      <c r="O75" s="1">
        <v>0.7</v>
      </c>
      <c r="P75" s="4">
        <f>N75-O75</f>
        <v>-0.16220489923758286</v>
      </c>
      <c r="Q75" s="2">
        <v>39276</v>
      </c>
      <c r="R75" s="4">
        <v>-0.88553276418217397</v>
      </c>
      <c r="S75" s="1">
        <v>0.1</v>
      </c>
      <c r="T75" s="4">
        <f>R75-S75</f>
        <v>-0.98553276418217395</v>
      </c>
      <c r="U75" s="2">
        <v>38047</v>
      </c>
      <c r="V75" s="1" t="s">
        <v>52</v>
      </c>
      <c r="W75" s="1" t="s">
        <v>52</v>
      </c>
      <c r="X75" s="1">
        <v>-0.6</v>
      </c>
      <c r="Y75" s="2">
        <v>38623</v>
      </c>
      <c r="Z75" s="5">
        <v>3.3450799099999999</v>
      </c>
      <c r="AA75" s="1">
        <v>1</v>
      </c>
      <c r="AB75" s="1">
        <f>Z75-AA75</f>
        <v>2.3450799099999999</v>
      </c>
      <c r="AC75" s="2">
        <v>38588</v>
      </c>
      <c r="AD75" s="5">
        <v>1.41</v>
      </c>
      <c r="AE75" s="6">
        <v>1.3360000000000001</v>
      </c>
      <c r="AF75" s="7">
        <f>AD75-AE75</f>
        <v>7.3999999999999844E-2</v>
      </c>
      <c r="AG75" s="8">
        <v>38041</v>
      </c>
      <c r="AH75" s="6">
        <v>88.5</v>
      </c>
      <c r="AI75" s="1">
        <v>93.1</v>
      </c>
      <c r="AJ75" s="1">
        <f>AH75-AI75</f>
        <v>-4.5999999999999943</v>
      </c>
      <c r="AK75" s="2">
        <v>39024</v>
      </c>
      <c r="AL75" s="1">
        <v>0.41567695961994833</v>
      </c>
      <c r="AM75" s="1">
        <v>0.3</v>
      </c>
      <c r="AN75" s="4">
        <f>AL75-AM75</f>
        <v>0.11567695961994834</v>
      </c>
      <c r="AO75" s="2">
        <v>38037</v>
      </c>
      <c r="AP75" s="5">
        <v>0.48674959000000001</v>
      </c>
      <c r="AQ75" s="1">
        <v>0.3</v>
      </c>
      <c r="AR75" s="4">
        <f>AP75-AQ75</f>
        <v>0.18674959000000002</v>
      </c>
      <c r="AS75" s="2">
        <v>38030</v>
      </c>
      <c r="AT75" s="5">
        <v>-42.478000000000002</v>
      </c>
      <c r="AU75" s="1">
        <v>-40</v>
      </c>
      <c r="AV75" s="4">
        <f>AT75-AU75</f>
        <v>-2.4780000000000015</v>
      </c>
      <c r="AW75" s="9">
        <v>38034</v>
      </c>
      <c r="AX75" s="4">
        <v>0.78381011425029201</v>
      </c>
      <c r="AY75" s="6">
        <v>0.7</v>
      </c>
      <c r="AZ75" s="4">
        <f>AX75-AY75</f>
        <v>8.3810114250292056E-2</v>
      </c>
    </row>
    <row r="76" spans="1:52" s="1" customFormat="1" x14ac:dyDescent="0.2">
      <c r="A76" s="2">
        <v>38051</v>
      </c>
      <c r="B76" s="1">
        <v>21</v>
      </c>
      <c r="C76" s="1">
        <v>128</v>
      </c>
      <c r="D76" s="1">
        <f>B76-C76</f>
        <v>-107</v>
      </c>
      <c r="E76" s="2">
        <v>38051</v>
      </c>
      <c r="F76" s="1">
        <v>5.6</v>
      </c>
      <c r="G76" s="1">
        <v>5.6</v>
      </c>
      <c r="H76" s="1">
        <f>F76-G76</f>
        <v>0</v>
      </c>
      <c r="I76" s="2">
        <v>38063</v>
      </c>
      <c r="J76" s="1">
        <v>0.2057613168724309</v>
      </c>
      <c r="K76" s="1">
        <v>0.1</v>
      </c>
      <c r="L76" s="4">
        <f>J76-K76</f>
        <v>0.1057613168724309</v>
      </c>
      <c r="M76" s="2">
        <v>42580</v>
      </c>
      <c r="N76" s="4">
        <v>1.2182341511306705</v>
      </c>
      <c r="O76" s="1">
        <v>2.6</v>
      </c>
      <c r="P76" s="4">
        <f>N76-O76</f>
        <v>-1.3817658488693296</v>
      </c>
      <c r="Q76" s="2">
        <v>39307</v>
      </c>
      <c r="R76" s="4">
        <v>0.29176678925850102</v>
      </c>
      <c r="S76" s="1">
        <v>0.3</v>
      </c>
      <c r="T76" s="4">
        <f>R76-S76</f>
        <v>-8.2332107414989641E-3</v>
      </c>
      <c r="U76" s="2">
        <v>38078</v>
      </c>
      <c r="V76" s="1" t="s">
        <v>52</v>
      </c>
      <c r="W76" s="1" t="s">
        <v>52</v>
      </c>
      <c r="X76" s="1">
        <v>2</v>
      </c>
      <c r="Y76" s="2">
        <v>38652</v>
      </c>
      <c r="Z76" s="5">
        <v>-2.0935996000000001</v>
      </c>
      <c r="AA76" s="1">
        <v>-1.1000000000000001</v>
      </c>
      <c r="AB76" s="1">
        <f>Z76-AA76</f>
        <v>-0.99359960000000003</v>
      </c>
      <c r="AC76" s="2">
        <v>38622</v>
      </c>
      <c r="AD76" s="5">
        <v>1.2370000000000001</v>
      </c>
      <c r="AE76" s="6">
        <v>1.35</v>
      </c>
      <c r="AF76" s="7">
        <f>AD76-AE76</f>
        <v>-0.11299999999999999</v>
      </c>
      <c r="AG76" s="8">
        <v>38076</v>
      </c>
      <c r="AH76" s="6">
        <v>88.5</v>
      </c>
      <c r="AI76" s="1">
        <v>85.8</v>
      </c>
      <c r="AJ76" s="1">
        <f>AH76-AI76</f>
        <v>2.7000000000000028</v>
      </c>
      <c r="AK76" s="2">
        <v>39059</v>
      </c>
      <c r="AL76" s="1">
        <v>0.17740981667653255</v>
      </c>
      <c r="AM76" s="1">
        <v>0.3</v>
      </c>
      <c r="AN76" s="4">
        <f>AL76-AM76</f>
        <v>-0.12259018332346744</v>
      </c>
      <c r="AO76" s="2">
        <v>38063</v>
      </c>
      <c r="AP76" s="5">
        <v>0.26910656999999999</v>
      </c>
      <c r="AQ76" s="1">
        <v>0.3</v>
      </c>
      <c r="AR76" s="4">
        <f>AP76-AQ76</f>
        <v>-3.089343E-2</v>
      </c>
      <c r="AS76" s="2">
        <v>38056</v>
      </c>
      <c r="AT76" s="5">
        <v>-43.057000000000002</v>
      </c>
      <c r="AU76" s="1">
        <v>-42.2</v>
      </c>
      <c r="AV76" s="4">
        <f>AT76-AU76</f>
        <v>-0.85699999999999932</v>
      </c>
      <c r="AW76" s="9">
        <v>38061</v>
      </c>
      <c r="AX76" s="4">
        <v>0.73226262999199898</v>
      </c>
      <c r="AY76" s="6">
        <v>0.3</v>
      </c>
      <c r="AZ76" s="4">
        <f>AX76-AY76</f>
        <v>0.43226262999199899</v>
      </c>
    </row>
    <row r="77" spans="1:52" s="1" customFormat="1" x14ac:dyDescent="0.2">
      <c r="A77" s="2">
        <v>38079</v>
      </c>
      <c r="B77" s="1">
        <v>308</v>
      </c>
      <c r="C77" s="1">
        <v>100</v>
      </c>
      <c r="D77" s="1">
        <f>B77-C77</f>
        <v>208</v>
      </c>
      <c r="E77" s="2">
        <v>38079</v>
      </c>
      <c r="F77" s="1">
        <v>5.7</v>
      </c>
      <c r="G77" s="1">
        <v>5.6</v>
      </c>
      <c r="H77" s="1">
        <f>F77-G77</f>
        <v>0.10000000000000053</v>
      </c>
      <c r="I77" s="2">
        <v>38091</v>
      </c>
      <c r="J77" s="1">
        <v>0.35934291581108241</v>
      </c>
      <c r="K77" s="1">
        <v>0.2</v>
      </c>
      <c r="L77" s="4">
        <f>J77-K77</f>
        <v>0.1593429158110824</v>
      </c>
      <c r="M77" s="2">
        <v>42671</v>
      </c>
      <c r="N77" s="4">
        <v>2.9014370378813936</v>
      </c>
      <c r="O77" s="1">
        <v>2.5</v>
      </c>
      <c r="P77" s="4">
        <f>N77-O77</f>
        <v>0.40143703788139362</v>
      </c>
      <c r="Q77" s="2">
        <v>39339</v>
      </c>
      <c r="R77" s="4">
        <v>0.27537455719664899</v>
      </c>
      <c r="S77" s="1">
        <v>0.6</v>
      </c>
      <c r="T77" s="4">
        <f>R77-S77</f>
        <v>-0.32462544280335098</v>
      </c>
      <c r="U77" s="2">
        <v>38110</v>
      </c>
      <c r="V77" s="1" t="s">
        <v>52</v>
      </c>
      <c r="W77" s="1" t="s">
        <v>52</v>
      </c>
      <c r="X77" s="1">
        <v>-0.6</v>
      </c>
      <c r="Y77" s="2">
        <v>38685</v>
      </c>
      <c r="Z77" s="5">
        <v>3.4285962400000001</v>
      </c>
      <c r="AA77" s="1">
        <v>1.2</v>
      </c>
      <c r="AB77" s="1">
        <f>Z77-AA77</f>
        <v>2.2285962399999999</v>
      </c>
      <c r="AC77" s="2">
        <v>38652</v>
      </c>
      <c r="AD77" s="5">
        <v>1.222</v>
      </c>
      <c r="AE77" s="6">
        <v>1.25</v>
      </c>
      <c r="AF77" s="7">
        <f>AD77-AE77</f>
        <v>-2.8000000000000025E-2</v>
      </c>
      <c r="AG77" s="8">
        <v>38104</v>
      </c>
      <c r="AH77" s="6">
        <v>93</v>
      </c>
      <c r="AI77" s="1">
        <v>90</v>
      </c>
      <c r="AJ77" s="1">
        <f>AH77-AI77</f>
        <v>3</v>
      </c>
      <c r="AK77" s="2">
        <v>39087</v>
      </c>
      <c r="AL77" s="1">
        <v>0.59031877213693296</v>
      </c>
      <c r="AM77" s="1">
        <v>0.3</v>
      </c>
      <c r="AN77" s="4">
        <f>AL77-AM77</f>
        <v>0.29031877213693297</v>
      </c>
      <c r="AO77" s="2">
        <v>38091</v>
      </c>
      <c r="AP77" s="5">
        <v>0.48309179000000002</v>
      </c>
      <c r="AQ77" s="1">
        <v>0.3</v>
      </c>
      <c r="AR77" s="4">
        <f>AP77-AQ77</f>
        <v>0.18309179000000003</v>
      </c>
      <c r="AS77" s="2">
        <v>38091</v>
      </c>
      <c r="AT77" s="5">
        <v>-42.085999999999999</v>
      </c>
      <c r="AU77" s="1">
        <v>-42.6</v>
      </c>
      <c r="AV77" s="4">
        <f>AT77-AU77</f>
        <v>0.5140000000000029</v>
      </c>
      <c r="AW77" s="9">
        <v>38093</v>
      </c>
      <c r="AX77" s="4">
        <v>-0.22999120109420901</v>
      </c>
      <c r="AY77" s="6">
        <v>0.2</v>
      </c>
      <c r="AZ77" s="4">
        <f>AX77-AY77</f>
        <v>-0.42999120109420902</v>
      </c>
    </row>
    <row r="78" spans="1:52" s="1" customFormat="1" x14ac:dyDescent="0.2">
      <c r="A78" s="2">
        <v>38114</v>
      </c>
      <c r="B78" s="1">
        <v>288</v>
      </c>
      <c r="C78" s="1">
        <v>185</v>
      </c>
      <c r="D78" s="1">
        <f>B78-C78</f>
        <v>103</v>
      </c>
      <c r="E78" s="2">
        <v>38114</v>
      </c>
      <c r="F78" s="1">
        <v>5.6</v>
      </c>
      <c r="G78" s="1">
        <v>5.6</v>
      </c>
      <c r="H78" s="1">
        <f>F78-G78</f>
        <v>0</v>
      </c>
      <c r="I78" s="2">
        <v>38121</v>
      </c>
      <c r="J78" s="1">
        <v>0.25575447570332482</v>
      </c>
      <c r="K78" s="1">
        <v>0.2</v>
      </c>
      <c r="L78" s="4">
        <f>J78-K78</f>
        <v>5.5754475703324813E-2</v>
      </c>
      <c r="M78" s="2">
        <v>42762</v>
      </c>
      <c r="N78" s="4">
        <v>1.8734854002908641</v>
      </c>
      <c r="O78" s="1">
        <v>2.2000000000000002</v>
      </c>
      <c r="P78" s="4">
        <f>N78-O78</f>
        <v>-0.3265145997091361</v>
      </c>
      <c r="Q78" s="2">
        <v>39367</v>
      </c>
      <c r="R78" s="4">
        <v>0.58249653464822704</v>
      </c>
      <c r="S78" s="1">
        <v>0.3</v>
      </c>
      <c r="T78" s="4">
        <f>R78-S78</f>
        <v>0.28249653464822705</v>
      </c>
      <c r="U78" s="2">
        <v>38139</v>
      </c>
      <c r="V78" s="1" t="s">
        <v>52</v>
      </c>
      <c r="W78" s="1" t="s">
        <v>52</v>
      </c>
      <c r="X78" s="1">
        <v>0.8</v>
      </c>
      <c r="Y78" s="2">
        <v>38709</v>
      </c>
      <c r="Z78" s="5">
        <v>4.35366447</v>
      </c>
      <c r="AA78" s="1">
        <v>0.9</v>
      </c>
      <c r="AB78" s="1">
        <f>Z78-AA78</f>
        <v>3.4536644700000001</v>
      </c>
      <c r="AC78" s="2">
        <v>38685</v>
      </c>
      <c r="AD78" s="5">
        <v>1.4239999999999999</v>
      </c>
      <c r="AE78" s="6">
        <v>1.1879999999999999</v>
      </c>
      <c r="AF78" s="7">
        <f>AD78-AE78</f>
        <v>0.23599999999999999</v>
      </c>
      <c r="AG78" s="8">
        <v>38132</v>
      </c>
      <c r="AH78" s="6">
        <v>93.1</v>
      </c>
      <c r="AI78" s="1">
        <v>94.1</v>
      </c>
      <c r="AJ78" s="1">
        <f>AH78-AI78</f>
        <v>-1</v>
      </c>
      <c r="AK78" s="2">
        <v>39115</v>
      </c>
      <c r="AL78" s="1">
        <v>0.29342723004694982</v>
      </c>
      <c r="AM78" s="1">
        <v>0.3</v>
      </c>
      <c r="AN78" s="4">
        <f>AL78-AM78</f>
        <v>-6.5727699530501726E-3</v>
      </c>
      <c r="AO78" s="2">
        <v>38121</v>
      </c>
      <c r="AP78" s="5">
        <v>0.21367521</v>
      </c>
      <c r="AQ78" s="1">
        <v>0.2</v>
      </c>
      <c r="AR78" s="4">
        <f>AP78-AQ78</f>
        <v>1.3675209999999993E-2</v>
      </c>
      <c r="AS78" s="2">
        <v>38119</v>
      </c>
      <c r="AT78" s="5">
        <v>-45.957999999999998</v>
      </c>
      <c r="AU78" s="1">
        <v>-42.9</v>
      </c>
      <c r="AV78" s="4">
        <f>AT78-AU78</f>
        <v>-3.0579999999999998</v>
      </c>
      <c r="AW78" s="9">
        <v>38121</v>
      </c>
      <c r="AX78" s="4">
        <v>0.79643003728899897</v>
      </c>
      <c r="AY78" s="6">
        <v>0.3</v>
      </c>
      <c r="AZ78" s="4">
        <f>AX78-AY78</f>
        <v>0.49643003728899898</v>
      </c>
    </row>
    <row r="79" spans="1:52" s="1" customFormat="1" x14ac:dyDescent="0.2">
      <c r="A79" s="2">
        <v>38142</v>
      </c>
      <c r="B79" s="1">
        <v>248</v>
      </c>
      <c r="C79" s="1">
        <v>223</v>
      </c>
      <c r="D79" s="1">
        <f>B79-C79</f>
        <v>25</v>
      </c>
      <c r="E79" s="2">
        <v>38142</v>
      </c>
      <c r="F79" s="1">
        <v>5.6</v>
      </c>
      <c r="G79" s="1">
        <v>5.6</v>
      </c>
      <c r="H79" s="1">
        <f>F79-G79</f>
        <v>0</v>
      </c>
      <c r="I79" s="2">
        <v>38153</v>
      </c>
      <c r="J79" s="1">
        <v>0.20408163265306412</v>
      </c>
      <c r="K79" s="1">
        <v>0.2</v>
      </c>
      <c r="L79" s="4">
        <f>J79-K79</f>
        <v>4.0816326530641045E-3</v>
      </c>
      <c r="M79" s="2">
        <v>42853</v>
      </c>
      <c r="N79" s="4">
        <v>0.69410848401265657</v>
      </c>
      <c r="O79" s="1">
        <v>1.2</v>
      </c>
      <c r="P79" s="4">
        <f>N79-O79</f>
        <v>-0.50589151598734339</v>
      </c>
      <c r="Q79" s="2">
        <v>39400</v>
      </c>
      <c r="R79" s="4">
        <v>0.16436840649571299</v>
      </c>
      <c r="S79" s="1">
        <v>0.2</v>
      </c>
      <c r="T79" s="4">
        <f>R79-S79</f>
        <v>-3.5631593504287018E-2</v>
      </c>
      <c r="U79" s="2">
        <v>38169</v>
      </c>
      <c r="V79" s="1" t="s">
        <v>52</v>
      </c>
      <c r="W79" s="1" t="s">
        <v>52</v>
      </c>
      <c r="X79" s="1">
        <v>-0.3</v>
      </c>
      <c r="Y79" s="2">
        <v>38743</v>
      </c>
      <c r="Z79" s="5">
        <v>1.25291815</v>
      </c>
      <c r="AA79" s="1">
        <v>1</v>
      </c>
      <c r="AB79" s="1">
        <f>Z79-AA79</f>
        <v>0.25291814999999995</v>
      </c>
      <c r="AC79" s="2">
        <v>38709</v>
      </c>
      <c r="AD79" s="5">
        <v>1.2450000000000001</v>
      </c>
      <c r="AE79" s="6">
        <v>1.3</v>
      </c>
      <c r="AF79" s="7">
        <f>AD79-AE79</f>
        <v>-5.4999999999999938E-2</v>
      </c>
      <c r="AG79" s="8">
        <v>38167</v>
      </c>
      <c r="AH79" s="6">
        <v>102.8</v>
      </c>
      <c r="AI79" s="1">
        <v>95</v>
      </c>
      <c r="AJ79" s="1">
        <f>AH79-AI79</f>
        <v>7.7999999999999972</v>
      </c>
      <c r="AK79" s="2">
        <v>39150</v>
      </c>
      <c r="AL79" s="1">
        <v>0.40959625511995945</v>
      </c>
      <c r="AM79" s="1">
        <v>0.3</v>
      </c>
      <c r="AN79" s="4">
        <f>AL79-AM79</f>
        <v>0.10959625511995946</v>
      </c>
      <c r="AO79" s="2">
        <v>38153</v>
      </c>
      <c r="AP79" s="5">
        <v>0.63965885</v>
      </c>
      <c r="AQ79" s="1">
        <v>0.4</v>
      </c>
      <c r="AR79" s="4">
        <f>AP79-AQ79</f>
        <v>0.23965884999999998</v>
      </c>
      <c r="AS79" s="2">
        <v>38152</v>
      </c>
      <c r="AT79" s="5">
        <v>-48.326999999999998</v>
      </c>
      <c r="AU79" s="1">
        <v>-45</v>
      </c>
      <c r="AV79" s="4">
        <f>AT79-AU79</f>
        <v>-3.3269999999999982</v>
      </c>
      <c r="AW79" s="9">
        <v>38154</v>
      </c>
      <c r="AX79" s="4">
        <v>1.0873981104513</v>
      </c>
      <c r="AY79" s="6">
        <v>0.8</v>
      </c>
      <c r="AZ79" s="4">
        <f>AX79-AY79</f>
        <v>0.28739811045129993</v>
      </c>
    </row>
    <row r="80" spans="1:52" s="1" customFormat="1" x14ac:dyDescent="0.2">
      <c r="A80" s="2">
        <v>38170</v>
      </c>
      <c r="B80" s="1">
        <v>112</v>
      </c>
      <c r="C80" s="1">
        <v>260</v>
      </c>
      <c r="D80" s="1">
        <f>B80-C80</f>
        <v>-148</v>
      </c>
      <c r="E80" s="2">
        <v>38170</v>
      </c>
      <c r="F80" s="1">
        <v>5.6</v>
      </c>
      <c r="G80" s="1">
        <v>5.6</v>
      </c>
      <c r="H80" s="1">
        <f>F80-G80</f>
        <v>0</v>
      </c>
      <c r="I80" s="2">
        <v>38184</v>
      </c>
      <c r="J80" s="1">
        <v>0.10183299389001457</v>
      </c>
      <c r="K80" s="1">
        <v>0.2</v>
      </c>
      <c r="L80" s="4">
        <f>J80-K80</f>
        <v>-9.8167006109985439E-2</v>
      </c>
      <c r="M80" s="2">
        <v>42944</v>
      </c>
      <c r="N80" s="4">
        <v>2.5682678635183365</v>
      </c>
      <c r="O80" s="1">
        <v>2.6</v>
      </c>
      <c r="P80" s="4">
        <f>N80-O80</f>
        <v>-3.173213648166362E-2</v>
      </c>
      <c r="Q80" s="2">
        <v>39429</v>
      </c>
      <c r="R80" s="4">
        <v>1.22412671089092</v>
      </c>
      <c r="S80" s="1">
        <v>0.6</v>
      </c>
      <c r="T80" s="4">
        <f>R80-S80</f>
        <v>0.62412671089091998</v>
      </c>
      <c r="U80" s="2">
        <v>38201</v>
      </c>
      <c r="V80" s="1" t="s">
        <v>52</v>
      </c>
      <c r="W80" s="1" t="s">
        <v>52</v>
      </c>
      <c r="X80" s="1">
        <v>0</v>
      </c>
      <c r="Y80" s="2">
        <v>38772</v>
      </c>
      <c r="Z80" s="5">
        <v>-10.208273999999999</v>
      </c>
      <c r="AA80" s="1">
        <v>-1</v>
      </c>
      <c r="AB80" s="1">
        <f>Z80-AA80</f>
        <v>-9.2082739999999994</v>
      </c>
      <c r="AC80" s="2">
        <v>38744</v>
      </c>
      <c r="AD80" s="5">
        <v>1.2689999999999999</v>
      </c>
      <c r="AE80" s="6">
        <v>1.2330000000000001</v>
      </c>
      <c r="AF80" s="7">
        <f>AD80-AE80</f>
        <v>3.599999999999981E-2</v>
      </c>
      <c r="AG80" s="8">
        <v>38195</v>
      </c>
      <c r="AH80" s="6">
        <v>105.7</v>
      </c>
      <c r="AI80" s="1">
        <v>102</v>
      </c>
      <c r="AJ80" s="1">
        <f>AH80-AI80</f>
        <v>3.7000000000000028</v>
      </c>
      <c r="AK80" s="2">
        <v>39178</v>
      </c>
      <c r="AL80" s="1">
        <v>0.34965034965033226</v>
      </c>
      <c r="AM80" s="1">
        <v>0.3</v>
      </c>
      <c r="AN80" s="4">
        <f>AL80-AM80</f>
        <v>4.9650349650332271E-2</v>
      </c>
      <c r="AO80" s="2">
        <v>38184</v>
      </c>
      <c r="AP80" s="5">
        <v>0.31779660999999998</v>
      </c>
      <c r="AQ80" s="1">
        <v>0.3</v>
      </c>
      <c r="AR80" s="4">
        <f>AP80-AQ80</f>
        <v>1.779660999999999E-2</v>
      </c>
      <c r="AS80" s="2">
        <v>38181</v>
      </c>
      <c r="AT80" s="5">
        <v>-45.954000000000001</v>
      </c>
      <c r="AU80" s="1">
        <v>-47.8</v>
      </c>
      <c r="AV80" s="4">
        <f>AT80-AU80</f>
        <v>1.8459999999999965</v>
      </c>
      <c r="AW80" s="9">
        <v>38183</v>
      </c>
      <c r="AX80" s="4">
        <v>-0.29519281926305402</v>
      </c>
      <c r="AY80" s="6">
        <v>0</v>
      </c>
      <c r="AZ80" s="4">
        <f>AX80-AY80</f>
        <v>-0.29519281926305402</v>
      </c>
    </row>
    <row r="81" spans="1:52" s="1" customFormat="1" x14ac:dyDescent="0.2">
      <c r="A81" s="2">
        <v>38205</v>
      </c>
      <c r="B81" s="1">
        <v>32</v>
      </c>
      <c r="C81" s="1">
        <v>220</v>
      </c>
      <c r="D81" s="1">
        <f>B81-C81</f>
        <v>-188</v>
      </c>
      <c r="E81" s="2">
        <v>38205</v>
      </c>
      <c r="F81" s="1">
        <v>5.5</v>
      </c>
      <c r="G81" s="1">
        <v>5.6</v>
      </c>
      <c r="H81" s="1">
        <f>F81-G81</f>
        <v>-9.9999999999999645E-2</v>
      </c>
      <c r="I81" s="2">
        <v>38216</v>
      </c>
      <c r="J81" s="1">
        <v>0.10172939979654987</v>
      </c>
      <c r="K81" s="1">
        <v>0.2</v>
      </c>
      <c r="L81" s="4">
        <f>J81-K81</f>
        <v>-9.8270600203450145E-2</v>
      </c>
      <c r="M81" s="2">
        <v>43035</v>
      </c>
      <c r="N81" s="4">
        <v>2.988959770143218</v>
      </c>
      <c r="O81" s="1">
        <v>2.5</v>
      </c>
      <c r="P81" s="4">
        <f>N81-O81</f>
        <v>0.48895977014321801</v>
      </c>
      <c r="Q81" s="2">
        <v>39462</v>
      </c>
      <c r="R81" s="4">
        <v>-0.36790150438931901</v>
      </c>
      <c r="S81" s="1">
        <v>0</v>
      </c>
      <c r="T81" s="4">
        <f>R81-S81</f>
        <v>-0.36790150438931901</v>
      </c>
      <c r="U81" s="2">
        <v>38231</v>
      </c>
      <c r="V81" s="1" t="s">
        <v>52</v>
      </c>
      <c r="W81" s="1" t="s">
        <v>52</v>
      </c>
      <c r="X81" s="1">
        <v>-1.3</v>
      </c>
      <c r="Y81" s="2">
        <v>38800</v>
      </c>
      <c r="Z81" s="5">
        <v>2.6102794299999998</v>
      </c>
      <c r="AA81" s="1">
        <v>1</v>
      </c>
      <c r="AB81" s="1">
        <f>Z81-AA81</f>
        <v>1.6102794299999998</v>
      </c>
      <c r="AC81" s="2">
        <v>38775</v>
      </c>
      <c r="AD81" s="5">
        <v>1.2330000000000001</v>
      </c>
      <c r="AE81" s="6">
        <v>1.27</v>
      </c>
      <c r="AF81" s="7">
        <f>AD81-AE81</f>
        <v>-3.6999999999999922E-2</v>
      </c>
      <c r="AG81" s="8">
        <v>38230</v>
      </c>
      <c r="AH81" s="6">
        <v>98.7</v>
      </c>
      <c r="AI81" s="1">
        <v>103</v>
      </c>
      <c r="AJ81" s="1">
        <f>AH81-AI81</f>
        <v>-4.2999999999999972</v>
      </c>
      <c r="AK81" s="2">
        <v>39206</v>
      </c>
      <c r="AL81" s="1">
        <v>0.17421602787457413</v>
      </c>
      <c r="AM81" s="1">
        <v>0.3</v>
      </c>
      <c r="AN81" s="4">
        <f>AL81-AM81</f>
        <v>-0.12578397212542586</v>
      </c>
      <c r="AO81" s="2">
        <v>38216</v>
      </c>
      <c r="AP81" s="5">
        <v>-5.2798299999999999E-2</v>
      </c>
      <c r="AQ81" s="1">
        <v>0.1</v>
      </c>
      <c r="AR81" s="4">
        <f>AP81-AQ81</f>
        <v>-0.1527983</v>
      </c>
      <c r="AS81" s="2">
        <v>38212</v>
      </c>
      <c r="AT81" s="5">
        <v>-55.814999999999998</v>
      </c>
      <c r="AU81" s="1">
        <v>-47</v>
      </c>
      <c r="AV81" s="4">
        <f>AT81-AU81</f>
        <v>-8.8149999999999977</v>
      </c>
      <c r="AW81" s="9">
        <v>38216</v>
      </c>
      <c r="AX81" s="4">
        <v>0.39826525675582097</v>
      </c>
      <c r="AY81" s="6">
        <v>0.4</v>
      </c>
      <c r="AZ81" s="4">
        <f>AX81-AY81</f>
        <v>-1.7347432441790489E-3</v>
      </c>
    </row>
    <row r="82" spans="1:52" s="1" customFormat="1" x14ac:dyDescent="0.2">
      <c r="A82" s="2">
        <v>38233</v>
      </c>
      <c r="B82" s="1">
        <v>144</v>
      </c>
      <c r="C82" s="1">
        <v>150</v>
      </c>
      <c r="D82" s="1">
        <f>B82-C82</f>
        <v>-6</v>
      </c>
      <c r="E82" s="2">
        <v>38233</v>
      </c>
      <c r="F82" s="1">
        <v>5.4</v>
      </c>
      <c r="G82" s="1">
        <v>5.5</v>
      </c>
      <c r="H82" s="1">
        <f>F82-G82</f>
        <v>-9.9999999999999645E-2</v>
      </c>
      <c r="I82" s="2">
        <v>38246</v>
      </c>
      <c r="J82" s="1">
        <v>5.0813008130078413E-2</v>
      </c>
      <c r="K82" s="1">
        <v>0.2</v>
      </c>
      <c r="L82" s="4">
        <f>J82-K82</f>
        <v>-0.1491869918699216</v>
      </c>
      <c r="M82" s="2">
        <v>43126</v>
      </c>
      <c r="N82" s="4">
        <v>2.5543985446265127</v>
      </c>
      <c r="O82" s="1">
        <v>3</v>
      </c>
      <c r="P82" s="4">
        <f>N82-O82</f>
        <v>-0.44560145537348728</v>
      </c>
      <c r="Q82" s="2">
        <v>39491</v>
      </c>
      <c r="R82" s="4">
        <v>0.32804582160805301</v>
      </c>
      <c r="S82" s="1">
        <v>-0.3</v>
      </c>
      <c r="T82" s="4">
        <f>R82-S82</f>
        <v>0.628045821608053</v>
      </c>
      <c r="U82" s="2">
        <v>38261</v>
      </c>
      <c r="V82" s="1" t="s">
        <v>52</v>
      </c>
      <c r="W82" s="1" t="s">
        <v>52</v>
      </c>
      <c r="X82" s="1">
        <v>-0.5</v>
      </c>
      <c r="Y82" s="2">
        <v>38833</v>
      </c>
      <c r="Z82" s="5">
        <v>6.13114633</v>
      </c>
      <c r="AA82" s="1">
        <v>2.2999999999999998</v>
      </c>
      <c r="AB82" s="1">
        <f>Z82-AA82</f>
        <v>3.8311463300000002</v>
      </c>
      <c r="AC82" s="2">
        <v>38800</v>
      </c>
      <c r="AD82" s="5">
        <v>1.08</v>
      </c>
      <c r="AE82" s="6">
        <v>1.2</v>
      </c>
      <c r="AF82" s="7">
        <f>AD82-AE82</f>
        <v>-0.11999999999999988</v>
      </c>
      <c r="AG82" s="8">
        <v>38258</v>
      </c>
      <c r="AH82" s="6">
        <v>96.7</v>
      </c>
      <c r="AI82" s="1">
        <v>99.3</v>
      </c>
      <c r="AJ82" s="1">
        <f>AH82-AI82</f>
        <v>-2.5999999999999943</v>
      </c>
      <c r="AK82" s="2">
        <v>39234</v>
      </c>
      <c r="AL82" s="1">
        <v>0.28985507246377384</v>
      </c>
      <c r="AM82" s="1">
        <v>0.3</v>
      </c>
      <c r="AN82" s="4">
        <f>AL82-AM82</f>
        <v>-1.0144927536226145E-2</v>
      </c>
      <c r="AO82" s="2">
        <v>38246</v>
      </c>
      <c r="AP82" s="5">
        <v>5.2826199999999997E-2</v>
      </c>
      <c r="AQ82" s="1">
        <v>0.2</v>
      </c>
      <c r="AR82" s="4">
        <f>AP82-AQ82</f>
        <v>-0.14717380000000002</v>
      </c>
      <c r="AS82" s="2">
        <v>38240</v>
      </c>
      <c r="AT82" s="5">
        <v>-50.145000000000003</v>
      </c>
      <c r="AU82" s="1">
        <v>-52.8</v>
      </c>
      <c r="AV82" s="4">
        <f>AT82-AU82</f>
        <v>2.654999999999994</v>
      </c>
      <c r="AW82" s="9">
        <v>38245</v>
      </c>
      <c r="AX82" s="4">
        <v>0.117613729042006</v>
      </c>
      <c r="AY82" s="6">
        <v>0.4</v>
      </c>
      <c r="AZ82" s="4">
        <f>AX82-AY82</f>
        <v>-0.28238627095799401</v>
      </c>
    </row>
    <row r="83" spans="1:52" s="1" customFormat="1" x14ac:dyDescent="0.2">
      <c r="A83" s="2">
        <v>38268</v>
      </c>
      <c r="B83" s="1">
        <v>96</v>
      </c>
      <c r="C83" s="1">
        <v>158</v>
      </c>
      <c r="D83" s="1">
        <f>B83-C83</f>
        <v>-62</v>
      </c>
      <c r="E83" s="2">
        <v>38268</v>
      </c>
      <c r="F83" s="1">
        <v>5.4</v>
      </c>
      <c r="G83" s="1">
        <v>5.4</v>
      </c>
      <c r="H83" s="1">
        <f>F83-G83</f>
        <v>0</v>
      </c>
      <c r="I83" s="2">
        <v>38279</v>
      </c>
      <c r="J83" s="1">
        <v>0.30472320975113981</v>
      </c>
      <c r="K83" s="1">
        <v>0.2</v>
      </c>
      <c r="L83" s="4">
        <f>J83-K83</f>
        <v>0.1047232097511398</v>
      </c>
      <c r="M83" s="2">
        <v>43217</v>
      </c>
      <c r="N83" s="4">
        <v>2.3184221625616619</v>
      </c>
      <c r="O83" s="1">
        <v>2</v>
      </c>
      <c r="P83" s="4">
        <f>N83-O83</f>
        <v>0.31842216256166189</v>
      </c>
      <c r="Q83" s="2">
        <v>39520</v>
      </c>
      <c r="R83" s="4">
        <v>-0.55945555741546704</v>
      </c>
      <c r="S83" s="1">
        <v>0.2</v>
      </c>
      <c r="T83" s="4">
        <f>R83-S83</f>
        <v>-0.75945555741546711</v>
      </c>
      <c r="U83" s="2">
        <v>38292</v>
      </c>
      <c r="V83" s="1" t="s">
        <v>52</v>
      </c>
      <c r="W83" s="1" t="s">
        <v>52</v>
      </c>
      <c r="X83" s="1">
        <v>-1.7</v>
      </c>
      <c r="Y83" s="2">
        <v>38861</v>
      </c>
      <c r="Z83" s="5">
        <v>-4.7575887000000003</v>
      </c>
      <c r="AA83" s="1">
        <v>0</v>
      </c>
      <c r="AB83" s="1">
        <f>Z83-AA83</f>
        <v>-4.7575887000000003</v>
      </c>
      <c r="AC83" s="2">
        <v>38833</v>
      </c>
      <c r="AD83" s="5">
        <v>1.2130000000000001</v>
      </c>
      <c r="AE83" s="6">
        <v>1.1200000000000001</v>
      </c>
      <c r="AF83" s="7">
        <f>AD83-AE83</f>
        <v>9.2999999999999972E-2</v>
      </c>
      <c r="AG83" s="8">
        <v>38286</v>
      </c>
      <c r="AH83" s="6">
        <v>92.9</v>
      </c>
      <c r="AI83" s="1">
        <v>94</v>
      </c>
      <c r="AJ83" s="1">
        <f>AH83-AI83</f>
        <v>-1.0999999999999943</v>
      </c>
      <c r="AK83" s="2">
        <v>39269</v>
      </c>
      <c r="AL83" s="1">
        <v>0.46242774566473965</v>
      </c>
      <c r="AM83" s="1">
        <v>0.3</v>
      </c>
      <c r="AN83" s="4">
        <f>AL83-AM83</f>
        <v>0.16242774566473966</v>
      </c>
      <c r="AO83" s="2">
        <v>38279</v>
      </c>
      <c r="AP83" s="5">
        <v>0.15839492999999999</v>
      </c>
      <c r="AQ83" s="1">
        <v>0.2</v>
      </c>
      <c r="AR83" s="4">
        <f>AP83-AQ83</f>
        <v>-4.1605070000000022E-2</v>
      </c>
      <c r="AS83" s="2">
        <v>38274</v>
      </c>
      <c r="AT83" s="5">
        <v>-54.040999999999997</v>
      </c>
      <c r="AU83" s="1">
        <v>-51</v>
      </c>
      <c r="AV83" s="4">
        <f>AT83-AU83</f>
        <v>-3.0409999999999968</v>
      </c>
      <c r="AW83" s="9">
        <v>38275</v>
      </c>
      <c r="AX83" s="4">
        <v>0.14678741576891</v>
      </c>
      <c r="AY83" s="6">
        <v>0.4</v>
      </c>
      <c r="AZ83" s="4">
        <f>AX83-AY83</f>
        <v>-0.25321258423109005</v>
      </c>
    </row>
    <row r="84" spans="1:52" s="1" customFormat="1" x14ac:dyDescent="0.2">
      <c r="A84" s="2">
        <v>38296</v>
      </c>
      <c r="B84" s="1">
        <v>337</v>
      </c>
      <c r="C84" s="1">
        <v>160</v>
      </c>
      <c r="D84" s="1">
        <f>B84-C84</f>
        <v>177</v>
      </c>
      <c r="E84" s="2">
        <v>38296</v>
      </c>
      <c r="F84" s="1">
        <v>5.5</v>
      </c>
      <c r="G84" s="1">
        <v>5.4</v>
      </c>
      <c r="H84" s="1">
        <f>F84-G84</f>
        <v>9.9999999999999645E-2</v>
      </c>
      <c r="I84" s="2">
        <v>38308</v>
      </c>
      <c r="J84" s="1">
        <v>0.20253164556962314</v>
      </c>
      <c r="K84" s="1">
        <v>0.1</v>
      </c>
      <c r="L84" s="4">
        <f>J84-K84</f>
        <v>0.10253164556962313</v>
      </c>
      <c r="M84" s="2">
        <v>43308</v>
      </c>
      <c r="N84" s="4">
        <v>4.0603418492355159</v>
      </c>
      <c r="O84" s="1">
        <v>4.0999999999999996</v>
      </c>
      <c r="P84" s="4">
        <f>N84-O84</f>
        <v>-3.9658150764483757E-2</v>
      </c>
      <c r="Q84" s="2">
        <v>39552</v>
      </c>
      <c r="R84" s="4">
        <v>0.15387443216133101</v>
      </c>
      <c r="S84" s="1">
        <v>0</v>
      </c>
      <c r="T84" s="4">
        <f>R84-S84</f>
        <v>0.15387443216133101</v>
      </c>
      <c r="U84" s="2">
        <v>38322</v>
      </c>
      <c r="V84" s="1" t="s">
        <v>52</v>
      </c>
      <c r="W84" s="1" t="s">
        <v>52</v>
      </c>
      <c r="X84" s="1">
        <v>0.8</v>
      </c>
      <c r="Y84" s="2">
        <v>38891</v>
      </c>
      <c r="Z84" s="5">
        <v>-0.2714664</v>
      </c>
      <c r="AA84" s="1">
        <v>1</v>
      </c>
      <c r="AB84" s="1">
        <f>Z84-AA84</f>
        <v>-1.2714664</v>
      </c>
      <c r="AC84" s="2">
        <v>38861</v>
      </c>
      <c r="AD84" s="5">
        <v>1.198</v>
      </c>
      <c r="AE84" s="6">
        <v>1.139</v>
      </c>
      <c r="AF84" s="7">
        <f>AD84-AE84</f>
        <v>5.8999999999999941E-2</v>
      </c>
      <c r="AG84" s="8">
        <v>38321</v>
      </c>
      <c r="AH84" s="6">
        <v>92.6</v>
      </c>
      <c r="AI84" s="1">
        <v>96.3</v>
      </c>
      <c r="AJ84" s="1">
        <f>AH84-AI84</f>
        <v>-3.7000000000000028</v>
      </c>
      <c r="AK84" s="2">
        <v>39297</v>
      </c>
      <c r="AL84" s="1">
        <v>0.40276179516685051</v>
      </c>
      <c r="AM84" s="1">
        <v>0.3</v>
      </c>
      <c r="AN84" s="4">
        <f>AL84-AM84</f>
        <v>0.10276179516685052</v>
      </c>
      <c r="AO84" s="2">
        <v>38308</v>
      </c>
      <c r="AP84" s="5">
        <v>0.63257775000000005</v>
      </c>
      <c r="AQ84" s="1">
        <v>0.4</v>
      </c>
      <c r="AR84" s="4">
        <f>AP84-AQ84</f>
        <v>0.23257775000000003</v>
      </c>
      <c r="AS84" s="2">
        <v>38301</v>
      </c>
      <c r="AT84" s="5">
        <v>-51.558999999999997</v>
      </c>
      <c r="AU84" s="1">
        <v>-53.5</v>
      </c>
      <c r="AV84" s="4">
        <f>AT84-AU84</f>
        <v>1.9410000000000025</v>
      </c>
      <c r="AW84" s="9">
        <v>38308</v>
      </c>
      <c r="AX84" s="4">
        <v>0.71602315940936501</v>
      </c>
      <c r="AY84" s="6">
        <v>0.3</v>
      </c>
      <c r="AZ84" s="4">
        <f>AX84-AY84</f>
        <v>0.41602315940936502</v>
      </c>
    </row>
    <row r="85" spans="1:52" s="1" customFormat="1" x14ac:dyDescent="0.2">
      <c r="A85" s="2">
        <v>38324</v>
      </c>
      <c r="B85" s="1">
        <v>112</v>
      </c>
      <c r="C85" s="1">
        <v>200</v>
      </c>
      <c r="D85" s="1">
        <f>B85-C85</f>
        <v>-88</v>
      </c>
      <c r="E85" s="2">
        <v>38324</v>
      </c>
      <c r="F85" s="1">
        <v>5.4</v>
      </c>
      <c r="G85" s="1">
        <v>5.4</v>
      </c>
      <c r="H85" s="1">
        <f>F85-G85</f>
        <v>0</v>
      </c>
      <c r="I85" s="2">
        <v>38338</v>
      </c>
      <c r="J85" s="1">
        <v>0.1515917129863481</v>
      </c>
      <c r="K85" s="1">
        <v>0.2</v>
      </c>
      <c r="L85" s="4">
        <f>J85-K85</f>
        <v>-4.8408287013651907E-2</v>
      </c>
      <c r="M85" s="2">
        <v>43399</v>
      </c>
      <c r="N85" s="4">
        <v>3.5006266502783712</v>
      </c>
      <c r="O85" s="1">
        <v>3.3</v>
      </c>
      <c r="P85" s="4">
        <f>N85-O85</f>
        <v>0.20062665027837134</v>
      </c>
      <c r="Q85" s="2">
        <v>39581</v>
      </c>
      <c r="R85" s="4">
        <v>-0.185824543621255</v>
      </c>
      <c r="S85" s="1">
        <v>-0.1</v>
      </c>
      <c r="T85" s="4">
        <f>R85-S85</f>
        <v>-8.5824543621254995E-2</v>
      </c>
      <c r="U85" s="2">
        <v>38355</v>
      </c>
      <c r="V85" s="1" t="s">
        <v>52</v>
      </c>
      <c r="W85" s="1" t="s">
        <v>52</v>
      </c>
      <c r="X85" s="1">
        <v>0.3</v>
      </c>
      <c r="Y85" s="2">
        <v>38925</v>
      </c>
      <c r="Z85" s="5">
        <v>3.1063389699999999</v>
      </c>
      <c r="AA85" s="1">
        <v>2.1</v>
      </c>
      <c r="AB85" s="1">
        <f>Z85-AA85</f>
        <v>1.0063389699999998</v>
      </c>
      <c r="AC85" s="2">
        <v>38894</v>
      </c>
      <c r="AD85" s="5">
        <v>1.234</v>
      </c>
      <c r="AE85" s="6">
        <v>1.1499999999999999</v>
      </c>
      <c r="AF85" s="7">
        <f>AD85-AE85</f>
        <v>8.4000000000000075E-2</v>
      </c>
      <c r="AG85" s="8">
        <v>38349</v>
      </c>
      <c r="AH85" s="6">
        <v>102.7</v>
      </c>
      <c r="AI85" s="1">
        <v>93</v>
      </c>
      <c r="AJ85" s="1">
        <f>AH85-AI85</f>
        <v>9.7000000000000028</v>
      </c>
      <c r="AK85" s="2">
        <v>39332</v>
      </c>
      <c r="AL85" s="1">
        <v>0.28653295128939771</v>
      </c>
      <c r="AM85" s="1">
        <v>0.3</v>
      </c>
      <c r="AN85" s="4">
        <f>AL85-AM85</f>
        <v>-1.3467048710602281E-2</v>
      </c>
      <c r="AO85" s="2">
        <v>38338</v>
      </c>
      <c r="AP85" s="5">
        <v>0.15715034</v>
      </c>
      <c r="AQ85" s="1">
        <v>0.2</v>
      </c>
      <c r="AR85" s="4">
        <f>AP85-AQ85</f>
        <v>-4.2849660000000012E-2</v>
      </c>
      <c r="AS85" s="2">
        <v>38335</v>
      </c>
      <c r="AT85" s="5">
        <v>-55.463999999999999</v>
      </c>
      <c r="AU85" s="1">
        <v>-52.8</v>
      </c>
      <c r="AV85" s="4">
        <f>AT85-AU85</f>
        <v>-2.6640000000000015</v>
      </c>
      <c r="AW85" s="9">
        <v>38335</v>
      </c>
      <c r="AX85" s="4">
        <v>0.25233581122552701</v>
      </c>
      <c r="AY85" s="6">
        <v>0.3</v>
      </c>
      <c r="AZ85" s="4">
        <f>AX85-AY85</f>
        <v>-4.7664188774472982E-2</v>
      </c>
    </row>
    <row r="86" spans="1:52" s="1" customFormat="1" x14ac:dyDescent="0.2">
      <c r="A86" s="2">
        <v>38359</v>
      </c>
      <c r="B86" s="1">
        <v>157</v>
      </c>
      <c r="C86" s="1">
        <v>180</v>
      </c>
      <c r="D86" s="1">
        <f>B86-C86</f>
        <v>-23</v>
      </c>
      <c r="E86" s="2">
        <v>38359</v>
      </c>
      <c r="F86" s="1">
        <v>5.4</v>
      </c>
      <c r="G86" s="1">
        <v>5.4</v>
      </c>
      <c r="H86" s="1">
        <f>F86-G86</f>
        <v>0</v>
      </c>
      <c r="I86" s="2">
        <v>38371</v>
      </c>
      <c r="J86" s="1">
        <v>0.15136226034309352</v>
      </c>
      <c r="K86" s="1">
        <v>0.2</v>
      </c>
      <c r="L86" s="4">
        <f>J86-K86</f>
        <v>-4.8637739656906487E-2</v>
      </c>
      <c r="M86" s="2">
        <v>43524</v>
      </c>
      <c r="N86" s="4">
        <v>2.5891193301453841</v>
      </c>
      <c r="O86" s="1">
        <v>2.6</v>
      </c>
      <c r="P86" s="4">
        <f>N86-O86</f>
        <v>-1.0880669854615999E-2</v>
      </c>
      <c r="Q86" s="2">
        <v>39611</v>
      </c>
      <c r="R86" s="4">
        <v>1.0181804839567701</v>
      </c>
      <c r="S86" s="1">
        <v>0.5</v>
      </c>
      <c r="T86" s="4">
        <f>R86-S86</f>
        <v>0.51818048395677008</v>
      </c>
      <c r="U86" s="2">
        <v>38384</v>
      </c>
      <c r="V86" s="1" t="s">
        <v>52</v>
      </c>
      <c r="W86" s="1" t="s">
        <v>52</v>
      </c>
      <c r="X86" s="1">
        <v>-0.7</v>
      </c>
      <c r="Y86" s="2">
        <v>38953</v>
      </c>
      <c r="Z86" s="5">
        <v>-2.4297181000000001</v>
      </c>
      <c r="AA86" s="1">
        <v>-0.4</v>
      </c>
      <c r="AB86" s="1">
        <f>Z86-AA86</f>
        <v>-2.0297181000000002</v>
      </c>
      <c r="AC86" s="2">
        <v>38925</v>
      </c>
      <c r="AD86" s="5">
        <v>1.131</v>
      </c>
      <c r="AE86" s="6">
        <v>1.1599999999999999</v>
      </c>
      <c r="AF86" s="7">
        <f>AD86-AE86</f>
        <v>-2.8999999999999915E-2</v>
      </c>
      <c r="AG86" s="8">
        <v>38377</v>
      </c>
      <c r="AH86" s="6">
        <v>105.1</v>
      </c>
      <c r="AI86" s="1">
        <v>101</v>
      </c>
      <c r="AJ86" s="1">
        <f>AH86-AI86</f>
        <v>4.0999999999999943</v>
      </c>
      <c r="AK86" s="2">
        <v>39360</v>
      </c>
      <c r="AL86" s="1">
        <v>0.40000000000000036</v>
      </c>
      <c r="AM86" s="1">
        <v>0.3</v>
      </c>
      <c r="AN86" s="4">
        <f>AL86-AM86</f>
        <v>0.10000000000000037</v>
      </c>
      <c r="AO86" s="2">
        <v>38371</v>
      </c>
      <c r="AP86" s="5">
        <v>-5.2301300000000002E-2</v>
      </c>
      <c r="AQ86" s="1">
        <v>0</v>
      </c>
      <c r="AR86" s="4">
        <f>AP86-AQ86</f>
        <v>-5.2301300000000002E-2</v>
      </c>
      <c r="AS86" s="2">
        <v>38364</v>
      </c>
      <c r="AT86" s="5">
        <v>-60.296999999999997</v>
      </c>
      <c r="AU86" s="1">
        <v>-53.4</v>
      </c>
      <c r="AV86" s="4">
        <f>AT86-AU86</f>
        <v>-6.8969999999999985</v>
      </c>
      <c r="AW86" s="9">
        <v>38366</v>
      </c>
      <c r="AX86" s="4">
        <v>0.83966721446179804</v>
      </c>
      <c r="AY86" s="6">
        <v>0.4</v>
      </c>
      <c r="AZ86" s="4">
        <f>AX86-AY86</f>
        <v>0.43966721446179802</v>
      </c>
    </row>
    <row r="87" spans="1:52" s="1" customFormat="1" x14ac:dyDescent="0.2">
      <c r="A87" s="2">
        <v>38387</v>
      </c>
      <c r="B87" s="1">
        <v>146</v>
      </c>
      <c r="C87" s="1">
        <v>185</v>
      </c>
      <c r="D87" s="1">
        <f>B87-C87</f>
        <v>-39</v>
      </c>
      <c r="E87" s="2">
        <v>38387</v>
      </c>
      <c r="F87" s="1">
        <v>5.2</v>
      </c>
      <c r="G87" s="1">
        <v>5.4</v>
      </c>
      <c r="H87" s="1">
        <f>F87-G87</f>
        <v>-0.20000000000000018</v>
      </c>
      <c r="I87" s="2">
        <v>38406</v>
      </c>
      <c r="J87" s="1">
        <v>0.20151133501259733</v>
      </c>
      <c r="K87" s="1">
        <v>0.2</v>
      </c>
      <c r="L87" s="4">
        <f>J87-K87</f>
        <v>1.5113350125973146E-3</v>
      </c>
      <c r="M87" s="2">
        <v>43581</v>
      </c>
      <c r="N87" s="4">
        <v>3.1719900089511421</v>
      </c>
      <c r="O87" s="1">
        <v>2</v>
      </c>
      <c r="P87" s="4">
        <f>N87-O87</f>
        <v>1.1719900089511421</v>
      </c>
      <c r="Q87" s="2">
        <v>39644</v>
      </c>
      <c r="R87" s="4">
        <v>6.9541391452920195E-2</v>
      </c>
      <c r="S87" s="1">
        <v>0.5</v>
      </c>
      <c r="T87" s="4">
        <f>R87-S87</f>
        <v>-0.43045860854707979</v>
      </c>
      <c r="U87" s="2">
        <v>38412</v>
      </c>
      <c r="V87" s="1" t="s">
        <v>52</v>
      </c>
      <c r="W87" s="1" t="s">
        <v>52</v>
      </c>
      <c r="X87" s="1">
        <v>-1.5</v>
      </c>
      <c r="Y87" s="2">
        <v>38987</v>
      </c>
      <c r="Z87" s="5">
        <v>-0.48725410000000002</v>
      </c>
      <c r="AA87" s="1">
        <v>0.9</v>
      </c>
      <c r="AB87" s="1">
        <f>Z87-AA87</f>
        <v>-1.3872541</v>
      </c>
      <c r="AC87" s="2">
        <v>38953</v>
      </c>
      <c r="AD87" s="5">
        <v>1.0720000000000001</v>
      </c>
      <c r="AE87" s="6">
        <v>1.1000000000000001</v>
      </c>
      <c r="AF87" s="7">
        <f>AD87-AE87</f>
        <v>-2.8000000000000025E-2</v>
      </c>
      <c r="AG87" s="8">
        <v>38405</v>
      </c>
      <c r="AH87" s="6">
        <v>104.4</v>
      </c>
      <c r="AI87" s="1">
        <v>102.9</v>
      </c>
      <c r="AJ87" s="1">
        <f>AH87-AI87</f>
        <v>1.5</v>
      </c>
      <c r="AK87" s="2">
        <v>39388</v>
      </c>
      <c r="AL87" s="1">
        <v>5.6915196357421038E-2</v>
      </c>
      <c r="AM87" s="1">
        <v>0.3</v>
      </c>
      <c r="AN87" s="4">
        <f>AL87-AM87</f>
        <v>-0.24308480364257895</v>
      </c>
      <c r="AO87" s="2">
        <v>38406</v>
      </c>
      <c r="AP87" s="5">
        <v>5.2301260000000002E-2</v>
      </c>
      <c r="AQ87" s="1">
        <v>0.2</v>
      </c>
      <c r="AR87" s="4">
        <f>AP87-AQ87</f>
        <v>-0.14769874</v>
      </c>
      <c r="AS87" s="2">
        <v>38393</v>
      </c>
      <c r="AT87" s="5">
        <v>-56.402999999999999</v>
      </c>
      <c r="AU87" s="1">
        <v>-57.5</v>
      </c>
      <c r="AV87" s="4">
        <f>AT87-AU87</f>
        <v>1.0970000000000013</v>
      </c>
      <c r="AW87" s="9">
        <v>38399</v>
      </c>
      <c r="AX87" s="4">
        <v>3.65571652043854E-2</v>
      </c>
      <c r="AY87" s="6">
        <v>0.3</v>
      </c>
      <c r="AZ87" s="4">
        <f>AX87-AY87</f>
        <v>-0.26344283479561459</v>
      </c>
    </row>
    <row r="88" spans="1:52" s="1" customFormat="1" x14ac:dyDescent="0.2">
      <c r="A88" s="2">
        <v>38415</v>
      </c>
      <c r="B88" s="1">
        <v>262</v>
      </c>
      <c r="C88" s="1">
        <v>218</v>
      </c>
      <c r="D88" s="1">
        <f>B88-C88</f>
        <v>44</v>
      </c>
      <c r="E88" s="2">
        <v>38415</v>
      </c>
      <c r="F88" s="1">
        <v>5.4</v>
      </c>
      <c r="G88" s="1">
        <v>5.2</v>
      </c>
      <c r="H88" s="1">
        <f>F88-G88</f>
        <v>0.20000000000000018</v>
      </c>
      <c r="I88" s="2">
        <v>38434</v>
      </c>
      <c r="J88" s="1">
        <v>0.25138260432378079</v>
      </c>
      <c r="K88" s="1">
        <v>0.2</v>
      </c>
      <c r="L88" s="4">
        <f>J88-K88</f>
        <v>5.1382604323780778E-2</v>
      </c>
      <c r="M88" s="2">
        <v>43672</v>
      </c>
      <c r="N88" s="4">
        <v>2.0558708571976503</v>
      </c>
      <c r="O88" s="1">
        <v>1.8</v>
      </c>
      <c r="P88" s="4">
        <f>N88-O88</f>
        <v>0.25587085719765024</v>
      </c>
      <c r="Q88" s="2">
        <v>39673</v>
      </c>
      <c r="R88" s="4">
        <v>-0.122305259385825</v>
      </c>
      <c r="S88" s="1">
        <v>0</v>
      </c>
      <c r="T88" s="4">
        <f>R88-S88</f>
        <v>-0.122305259385825</v>
      </c>
      <c r="U88" s="2">
        <v>38443</v>
      </c>
      <c r="V88" s="1" t="s">
        <v>52</v>
      </c>
      <c r="W88" s="1" t="s">
        <v>52</v>
      </c>
      <c r="X88" s="1">
        <v>0.2</v>
      </c>
      <c r="Y88" s="2">
        <v>39016</v>
      </c>
      <c r="Z88" s="5">
        <v>7.7702349399999999</v>
      </c>
      <c r="AA88" s="1">
        <v>2</v>
      </c>
      <c r="AB88" s="1">
        <f>Z88-AA88</f>
        <v>5.7702349399999999</v>
      </c>
      <c r="AC88" s="2">
        <v>38987</v>
      </c>
      <c r="AD88" s="5">
        <v>1.05</v>
      </c>
      <c r="AE88" s="6">
        <v>1.0449999999999999</v>
      </c>
      <c r="AF88" s="7">
        <f>AD88-AE88</f>
        <v>5.0000000000001155E-3</v>
      </c>
      <c r="AG88" s="8">
        <v>38440</v>
      </c>
      <c r="AH88" s="6">
        <v>103</v>
      </c>
      <c r="AI88" s="1">
        <v>103.5</v>
      </c>
      <c r="AJ88" s="1">
        <f>AH88-AI88</f>
        <v>-0.5</v>
      </c>
      <c r="AK88" s="2">
        <v>39423</v>
      </c>
      <c r="AL88" s="1">
        <v>0.28441410693971214</v>
      </c>
      <c r="AM88" s="1">
        <v>0.3</v>
      </c>
      <c r="AN88" s="4">
        <f>AL88-AM88</f>
        <v>-1.5585893060287848E-2</v>
      </c>
      <c r="AO88" s="2">
        <v>38434</v>
      </c>
      <c r="AP88" s="5">
        <v>0.36591741</v>
      </c>
      <c r="AQ88" s="1">
        <v>0.3</v>
      </c>
      <c r="AR88" s="4">
        <f>AP88-AQ88</f>
        <v>6.591741000000001E-2</v>
      </c>
      <c r="AS88" s="2">
        <v>38422</v>
      </c>
      <c r="AT88" s="5">
        <v>-58.27</v>
      </c>
      <c r="AU88" s="1">
        <v>-56.5</v>
      </c>
      <c r="AV88" s="4">
        <f>AT88-AU88</f>
        <v>-1.7700000000000031</v>
      </c>
      <c r="AW88" s="9">
        <v>38427</v>
      </c>
      <c r="AX88" s="4">
        <v>0.34070395199633902</v>
      </c>
      <c r="AY88" s="6">
        <v>0.4</v>
      </c>
      <c r="AZ88" s="4">
        <f>AX88-AY88</f>
        <v>-5.9296048003661006E-2</v>
      </c>
    </row>
    <row r="89" spans="1:52" s="1" customFormat="1" x14ac:dyDescent="0.2">
      <c r="A89" s="2">
        <v>38443</v>
      </c>
      <c r="B89" s="1">
        <v>110</v>
      </c>
      <c r="C89" s="1">
        <v>225</v>
      </c>
      <c r="D89" s="1">
        <f>B89-C89</f>
        <v>-115</v>
      </c>
      <c r="E89" s="2">
        <v>38443</v>
      </c>
      <c r="F89" s="1">
        <v>5.2</v>
      </c>
      <c r="G89" s="1">
        <v>5.3</v>
      </c>
      <c r="H89" s="1">
        <f>F89-G89</f>
        <v>-9.9999999999999645E-2</v>
      </c>
      <c r="I89" s="2">
        <v>38462</v>
      </c>
      <c r="J89" s="1">
        <v>0.35105315947842958</v>
      </c>
      <c r="K89" s="1">
        <v>0.2</v>
      </c>
      <c r="L89" s="4">
        <f>J89-K89</f>
        <v>0.15105315947842957</v>
      </c>
      <c r="M89" s="2">
        <v>43768</v>
      </c>
      <c r="N89" s="4">
        <v>1.9205802014299556</v>
      </c>
      <c r="O89" s="1">
        <v>1.6</v>
      </c>
      <c r="P89" s="4">
        <f>N89-O89</f>
        <v>0.32058020142995547</v>
      </c>
      <c r="Q89" s="2">
        <v>39703</v>
      </c>
      <c r="R89" s="4">
        <v>-0.267144613935477</v>
      </c>
      <c r="S89" s="1">
        <v>0.3</v>
      </c>
      <c r="T89" s="4">
        <f>R89-S89</f>
        <v>-0.56714461393547699</v>
      </c>
      <c r="U89" s="2">
        <v>38474</v>
      </c>
      <c r="V89" s="1" t="s">
        <v>52</v>
      </c>
      <c r="W89" s="1" t="s">
        <v>52</v>
      </c>
      <c r="X89" s="1">
        <v>-1.9</v>
      </c>
      <c r="Y89" s="2">
        <v>39049</v>
      </c>
      <c r="Z89" s="5">
        <v>-8.3167045999999996</v>
      </c>
      <c r="AA89" s="1">
        <v>-5.0999999999999996</v>
      </c>
      <c r="AB89" s="1">
        <f>Z89-AA89</f>
        <v>-3.2167045999999999</v>
      </c>
      <c r="AC89" s="2">
        <v>39016</v>
      </c>
      <c r="AD89" s="5">
        <v>1.075</v>
      </c>
      <c r="AE89" s="6">
        <v>1.05</v>
      </c>
      <c r="AF89" s="7">
        <f>AD89-AE89</f>
        <v>2.4999999999999911E-2</v>
      </c>
      <c r="AG89" s="8">
        <v>38468</v>
      </c>
      <c r="AH89" s="6">
        <v>97.5</v>
      </c>
      <c r="AI89" s="1">
        <v>98</v>
      </c>
      <c r="AJ89" s="1">
        <f>AH89-AI89</f>
        <v>-0.5</v>
      </c>
      <c r="AK89" s="2">
        <v>39451</v>
      </c>
      <c r="AL89" s="1">
        <v>0.45377197958027526</v>
      </c>
      <c r="AM89" s="1">
        <v>0.3</v>
      </c>
      <c r="AN89" s="4">
        <f>AL89-AM89</f>
        <v>0.15377197958027528</v>
      </c>
      <c r="AO89" s="2">
        <v>38462</v>
      </c>
      <c r="AP89" s="5">
        <v>0.625</v>
      </c>
      <c r="AQ89" s="1">
        <v>0.4</v>
      </c>
      <c r="AR89" s="4">
        <f>AP89-AQ89</f>
        <v>0.22499999999999998</v>
      </c>
      <c r="AS89" s="2">
        <v>38454</v>
      </c>
      <c r="AT89" s="5">
        <v>-61.036000000000001</v>
      </c>
      <c r="AU89" s="1">
        <v>-59</v>
      </c>
      <c r="AV89" s="4">
        <f>AT89-AU89</f>
        <v>-2.0360000000000014</v>
      </c>
      <c r="AW89" s="9">
        <v>38457</v>
      </c>
      <c r="AX89" s="4">
        <v>0.29701462225832498</v>
      </c>
      <c r="AY89" s="6">
        <v>0.3</v>
      </c>
      <c r="AZ89" s="4">
        <f>AX89-AY89</f>
        <v>-2.9853777416750105E-3</v>
      </c>
    </row>
    <row r="90" spans="1:52" s="1" customFormat="1" x14ac:dyDescent="0.2">
      <c r="A90" s="2">
        <v>38478</v>
      </c>
      <c r="B90" s="1">
        <v>274</v>
      </c>
      <c r="C90" s="1">
        <v>175</v>
      </c>
      <c r="D90" s="1">
        <f>B90-C90</f>
        <v>99</v>
      </c>
      <c r="E90" s="2">
        <v>38478</v>
      </c>
      <c r="F90" s="1">
        <v>5.2</v>
      </c>
      <c r="G90" s="1">
        <v>5.2</v>
      </c>
      <c r="H90" s="1">
        <f>F90-G90</f>
        <v>0</v>
      </c>
      <c r="I90" s="2">
        <v>38490</v>
      </c>
      <c r="J90" s="1">
        <v>4.9975012493750283E-2</v>
      </c>
      <c r="K90" s="1">
        <v>0.2</v>
      </c>
      <c r="L90" s="4">
        <f>J90-K90</f>
        <v>-0.15002498750624974</v>
      </c>
      <c r="M90" s="2">
        <v>43860</v>
      </c>
      <c r="N90" s="4">
        <v>2.0798192572727192</v>
      </c>
      <c r="O90" s="1">
        <v>2.1</v>
      </c>
      <c r="P90" s="4">
        <f>N90-O90</f>
        <v>-2.0180742727280876E-2</v>
      </c>
      <c r="Q90" s="2">
        <v>39736</v>
      </c>
      <c r="R90" s="4">
        <v>-1.1590624308985</v>
      </c>
      <c r="S90" s="1">
        <v>-0.7</v>
      </c>
      <c r="T90" s="4">
        <f>R90-S90</f>
        <v>-0.45906243089850007</v>
      </c>
      <c r="U90" s="2">
        <v>38504</v>
      </c>
      <c r="V90" s="1" t="s">
        <v>52</v>
      </c>
      <c r="W90" s="1" t="s">
        <v>52</v>
      </c>
      <c r="X90" s="1">
        <v>-0.6</v>
      </c>
      <c r="Y90" s="2">
        <v>39073</v>
      </c>
      <c r="Z90" s="5">
        <v>1.8972471099999999</v>
      </c>
      <c r="AA90" s="1">
        <v>1</v>
      </c>
      <c r="AB90" s="1">
        <f>Z90-AA90</f>
        <v>0.8972471099999999</v>
      </c>
      <c r="AC90" s="2">
        <v>39050</v>
      </c>
      <c r="AD90" s="5">
        <v>1.004</v>
      </c>
      <c r="AE90" s="6">
        <v>1.05</v>
      </c>
      <c r="AF90" s="7">
        <f>AD90-AE90</f>
        <v>-4.6000000000000041E-2</v>
      </c>
      <c r="AG90" s="8">
        <v>38503</v>
      </c>
      <c r="AH90" s="6">
        <v>103.1</v>
      </c>
      <c r="AI90" s="1">
        <v>97</v>
      </c>
      <c r="AJ90" s="1">
        <f>AH90-AI90</f>
        <v>6.0999999999999943</v>
      </c>
      <c r="AK90" s="2">
        <v>39479</v>
      </c>
      <c r="AL90" s="1">
        <v>0.22586109542630517</v>
      </c>
      <c r="AM90" s="1">
        <v>0.3</v>
      </c>
      <c r="AN90" s="4">
        <f>AL90-AM90</f>
        <v>-7.4138904573694819E-2</v>
      </c>
      <c r="AO90" s="2">
        <v>38490</v>
      </c>
      <c r="AP90" s="5">
        <v>0.51759834000000005</v>
      </c>
      <c r="AQ90" s="1">
        <v>0.4</v>
      </c>
      <c r="AR90" s="4">
        <f>AP90-AQ90</f>
        <v>0.11759834000000002</v>
      </c>
      <c r="AS90" s="2">
        <v>38483</v>
      </c>
      <c r="AT90" s="5">
        <v>-54.985999999999997</v>
      </c>
      <c r="AU90" s="1">
        <v>-61.1</v>
      </c>
      <c r="AV90" s="4">
        <f>AT90-AU90</f>
        <v>6.1140000000000043</v>
      </c>
      <c r="AW90" s="9">
        <v>38489</v>
      </c>
      <c r="AX90" s="4">
        <v>-0.1940813622824</v>
      </c>
      <c r="AY90" s="6">
        <v>0.2</v>
      </c>
      <c r="AZ90" s="4">
        <f>AX90-AY90</f>
        <v>-0.39408136228239998</v>
      </c>
    </row>
    <row r="91" spans="1:52" s="1" customFormat="1" x14ac:dyDescent="0.2">
      <c r="A91" s="2">
        <v>38506</v>
      </c>
      <c r="B91" s="1">
        <v>78</v>
      </c>
      <c r="C91" s="1">
        <v>185</v>
      </c>
      <c r="D91" s="1">
        <f>B91-C91</f>
        <v>-107</v>
      </c>
      <c r="E91" s="2">
        <v>38506</v>
      </c>
      <c r="F91" s="1">
        <v>5.0999999999999996</v>
      </c>
      <c r="G91" s="1">
        <v>5.2</v>
      </c>
      <c r="H91" s="1">
        <f>F91-G91</f>
        <v>-0.10000000000000053</v>
      </c>
      <c r="I91" s="2">
        <v>38518</v>
      </c>
      <c r="J91" s="1">
        <v>0.14985014985015555</v>
      </c>
      <c r="K91" s="1">
        <v>0.2</v>
      </c>
      <c r="L91" s="4">
        <f>J91-K91</f>
        <v>-5.0149850149844466E-2</v>
      </c>
      <c r="M91" s="2">
        <v>43950</v>
      </c>
      <c r="N91" s="4">
        <v>-4.7830954528966689</v>
      </c>
      <c r="O91" s="1">
        <v>-4</v>
      </c>
      <c r="P91" s="4">
        <f>N91-O91</f>
        <v>-0.78309545289666893</v>
      </c>
      <c r="Q91" s="2">
        <v>39766</v>
      </c>
      <c r="R91" s="4">
        <v>-2.7719781321428001</v>
      </c>
      <c r="S91" s="1">
        <v>-2</v>
      </c>
      <c r="T91" s="4">
        <f>R91-S91</f>
        <v>-0.77197813214280009</v>
      </c>
      <c r="U91" s="2">
        <v>38534</v>
      </c>
      <c r="V91" s="1" t="s">
        <v>52</v>
      </c>
      <c r="W91" s="1" t="s">
        <v>52</v>
      </c>
      <c r="X91" s="1">
        <v>2.2000000000000002</v>
      </c>
      <c r="Y91" s="2">
        <v>39108</v>
      </c>
      <c r="Z91" s="5">
        <v>3.09327212</v>
      </c>
      <c r="AA91" s="1">
        <v>2.8</v>
      </c>
      <c r="AB91" s="1">
        <f>Z91-AA91</f>
        <v>0.29327212000000014</v>
      </c>
      <c r="AC91" s="2">
        <v>39078</v>
      </c>
      <c r="AD91" s="5">
        <v>1.0469999999999999</v>
      </c>
      <c r="AE91" s="6">
        <v>1.0229999999999999</v>
      </c>
      <c r="AF91" s="7">
        <f>AD91-AE91</f>
        <v>2.4000000000000021E-2</v>
      </c>
      <c r="AG91" s="8">
        <v>38531</v>
      </c>
      <c r="AH91" s="6">
        <v>106.2</v>
      </c>
      <c r="AI91" s="1">
        <v>104</v>
      </c>
      <c r="AJ91" s="1">
        <f>AH91-AI91</f>
        <v>2.2000000000000028</v>
      </c>
      <c r="AK91" s="2">
        <v>39514</v>
      </c>
      <c r="AL91" s="1">
        <v>0.28169014084507005</v>
      </c>
      <c r="AM91" s="1">
        <v>0.2</v>
      </c>
      <c r="AN91" s="4">
        <f>AL91-AM91</f>
        <v>8.1690140845070036E-2</v>
      </c>
      <c r="AO91" s="2">
        <v>38518</v>
      </c>
      <c r="AP91" s="5">
        <v>-5.1493299999999999E-2</v>
      </c>
      <c r="AQ91" s="1">
        <v>0.1</v>
      </c>
      <c r="AR91" s="4">
        <f>AP91-AQ91</f>
        <v>-0.1514933</v>
      </c>
      <c r="AS91" s="2">
        <v>38513</v>
      </c>
      <c r="AT91" s="5">
        <v>-56.963000000000001</v>
      </c>
      <c r="AU91" s="1">
        <v>-58</v>
      </c>
      <c r="AV91" s="4">
        <f>AT91-AU91</f>
        <v>1.036999999999999</v>
      </c>
      <c r="AW91" s="9">
        <v>38518</v>
      </c>
      <c r="AX91" s="4">
        <v>0.40282655608682699</v>
      </c>
      <c r="AY91" s="6">
        <v>0.2</v>
      </c>
      <c r="AZ91" s="4">
        <f>AX91-AY91</f>
        <v>0.20282655608682698</v>
      </c>
    </row>
    <row r="92" spans="1:52" s="1" customFormat="1" x14ac:dyDescent="0.2">
      <c r="A92" s="2">
        <v>38541</v>
      </c>
      <c r="B92" s="1">
        <v>146</v>
      </c>
      <c r="C92" s="1">
        <v>180</v>
      </c>
      <c r="D92" s="1">
        <f>B92-C92</f>
        <v>-34</v>
      </c>
      <c r="E92" s="2">
        <v>38541</v>
      </c>
      <c r="F92" s="1">
        <v>5</v>
      </c>
      <c r="G92" s="1">
        <v>5.0999999999999996</v>
      </c>
      <c r="H92" s="1">
        <f>F92-G92</f>
        <v>-9.9999999999999645E-2</v>
      </c>
      <c r="I92" s="2">
        <v>38547</v>
      </c>
      <c r="J92" s="1">
        <v>9.9750623441390837E-2</v>
      </c>
      <c r="K92" s="1">
        <v>0.2</v>
      </c>
      <c r="L92" s="4">
        <f>J92-K92</f>
        <v>-0.10024937655860917</v>
      </c>
      <c r="M92" s="2">
        <v>44042</v>
      </c>
      <c r="N92" s="4">
        <v>-32.904136771754096</v>
      </c>
      <c r="O92" s="1">
        <v>-34.1</v>
      </c>
      <c r="P92" s="4">
        <f>N92-O92</f>
        <v>1.195863228245905</v>
      </c>
      <c r="Q92" s="2">
        <v>39794</v>
      </c>
      <c r="R92" s="4">
        <v>-1.76226055491872</v>
      </c>
      <c r="S92" s="1">
        <v>-1.9</v>
      </c>
      <c r="T92" s="4">
        <f>R92-S92</f>
        <v>0.13773944508127989</v>
      </c>
      <c r="U92" s="2">
        <v>38565</v>
      </c>
      <c r="V92" s="1" t="s">
        <v>52</v>
      </c>
      <c r="W92" s="1" t="s">
        <v>52</v>
      </c>
      <c r="X92" s="1">
        <v>1.6</v>
      </c>
      <c r="Y92" s="2">
        <v>39140</v>
      </c>
      <c r="Z92" s="5">
        <v>-7.7535582999999999</v>
      </c>
      <c r="AA92" s="1">
        <v>-2.4</v>
      </c>
      <c r="AB92" s="1">
        <f>Z92-AA92</f>
        <v>-5.3535582999999995</v>
      </c>
      <c r="AC92" s="2">
        <v>39108</v>
      </c>
      <c r="AD92" s="5">
        <v>1.1200000000000001</v>
      </c>
      <c r="AE92" s="6">
        <v>1.0549999999999999</v>
      </c>
      <c r="AF92" s="7">
        <f>AD92-AE92</f>
        <v>6.5000000000000169E-2</v>
      </c>
      <c r="AG92" s="8">
        <v>38559</v>
      </c>
      <c r="AH92" s="6">
        <v>103.6</v>
      </c>
      <c r="AI92" s="1">
        <v>106</v>
      </c>
      <c r="AJ92" s="1">
        <f>AH92-AI92</f>
        <v>-2.4000000000000057</v>
      </c>
      <c r="AK92" s="2">
        <v>39542</v>
      </c>
      <c r="AL92" s="1">
        <v>0.3370786516853963</v>
      </c>
      <c r="AM92" s="1">
        <v>0.3</v>
      </c>
      <c r="AN92" s="4">
        <f>AL92-AM92</f>
        <v>3.7078651685396313E-2</v>
      </c>
      <c r="AO92" s="2">
        <v>38547</v>
      </c>
      <c r="AP92" s="5">
        <v>0</v>
      </c>
      <c r="AQ92" s="1">
        <v>0.2</v>
      </c>
      <c r="AR92" s="4">
        <f>AP92-AQ92</f>
        <v>-0.2</v>
      </c>
      <c r="AS92" s="2">
        <v>38546</v>
      </c>
      <c r="AT92" s="5">
        <v>-55.348999999999997</v>
      </c>
      <c r="AU92" s="1">
        <v>-57</v>
      </c>
      <c r="AV92" s="4">
        <f>AT92-AU92</f>
        <v>1.6510000000000034</v>
      </c>
      <c r="AW92" s="9">
        <v>38548</v>
      </c>
      <c r="AX92" s="4">
        <v>0.86486668745942996</v>
      </c>
      <c r="AY92" s="6">
        <v>0.3</v>
      </c>
      <c r="AZ92" s="4">
        <f>AX92-AY92</f>
        <v>0.56486668745942992</v>
      </c>
    </row>
    <row r="93" spans="1:52" s="1" customFormat="1" x14ac:dyDescent="0.2">
      <c r="A93" s="2">
        <v>38569</v>
      </c>
      <c r="B93" s="1">
        <v>207</v>
      </c>
      <c r="C93" s="1">
        <v>180</v>
      </c>
      <c r="D93" s="1">
        <f>B93-C93</f>
        <v>27</v>
      </c>
      <c r="E93" s="2">
        <v>38569</v>
      </c>
      <c r="F93" s="1">
        <v>5</v>
      </c>
      <c r="G93" s="1">
        <v>5</v>
      </c>
      <c r="H93" s="1">
        <f>F93-G93</f>
        <v>0</v>
      </c>
      <c r="I93" s="2">
        <v>38580</v>
      </c>
      <c r="J93" s="1">
        <v>0.14947683109118653</v>
      </c>
      <c r="K93" s="1">
        <v>0.2</v>
      </c>
      <c r="L93" s="4">
        <f>J93-K93</f>
        <v>-5.0523168908813476E-2</v>
      </c>
      <c r="M93" s="2">
        <v>44133</v>
      </c>
      <c r="N93" s="4">
        <v>33.081827329538996</v>
      </c>
      <c r="O93" s="1">
        <v>31</v>
      </c>
      <c r="P93" s="4">
        <f>N93-O93</f>
        <v>2.0818273295389957</v>
      </c>
      <c r="Q93" s="2">
        <v>39827</v>
      </c>
      <c r="R93" s="4">
        <v>-2.6614524696066901</v>
      </c>
      <c r="S93" s="1">
        <v>-1.2</v>
      </c>
      <c r="T93" s="4">
        <f>R93-S93</f>
        <v>-1.4614524696066902</v>
      </c>
      <c r="U93" s="2">
        <v>38596</v>
      </c>
      <c r="V93" s="1" t="s">
        <v>52</v>
      </c>
      <c r="W93" s="1" t="s">
        <v>52</v>
      </c>
      <c r="X93" s="1">
        <v>-4.4000000000000004</v>
      </c>
      <c r="Y93" s="2">
        <v>39169</v>
      </c>
      <c r="Z93" s="5">
        <v>2.4885723799999999</v>
      </c>
      <c r="AA93" s="1">
        <v>3.1</v>
      </c>
      <c r="AB93" s="1">
        <f>Z93-AA93</f>
        <v>-0.61142762000000017</v>
      </c>
      <c r="AC93" s="2">
        <v>39141</v>
      </c>
      <c r="AD93" s="5">
        <v>0.93700000000000006</v>
      </c>
      <c r="AE93" s="6">
        <v>1.083</v>
      </c>
      <c r="AF93" s="7">
        <f>AD93-AE93</f>
        <v>-0.14599999999999991</v>
      </c>
      <c r="AG93" s="8">
        <v>38594</v>
      </c>
      <c r="AH93" s="6">
        <v>105.5</v>
      </c>
      <c r="AI93" s="1">
        <v>100.3</v>
      </c>
      <c r="AJ93" s="1">
        <f>AH93-AI93</f>
        <v>5.2000000000000028</v>
      </c>
      <c r="AK93" s="2">
        <v>39570</v>
      </c>
      <c r="AL93" s="1">
        <v>0.11198208286673506</v>
      </c>
      <c r="AM93" s="1">
        <v>0.3</v>
      </c>
      <c r="AN93" s="4">
        <f>AL93-AM93</f>
        <v>-0.18801791713326493</v>
      </c>
      <c r="AO93" s="2">
        <v>38580</v>
      </c>
      <c r="AP93" s="5">
        <v>0.51519835000000003</v>
      </c>
      <c r="AQ93" s="1">
        <v>0.4</v>
      </c>
      <c r="AR93" s="4">
        <f>AP93-AQ93</f>
        <v>0.11519835</v>
      </c>
      <c r="AS93" s="2">
        <v>38576</v>
      </c>
      <c r="AT93" s="5">
        <v>-58.816000000000003</v>
      </c>
      <c r="AU93" s="1">
        <v>-57.2</v>
      </c>
      <c r="AV93" s="4">
        <f>AT93-AU93</f>
        <v>-1.6159999999999997</v>
      </c>
      <c r="AW93" s="9">
        <v>38580</v>
      </c>
      <c r="AX93" s="4">
        <v>5.36103199866034E-2</v>
      </c>
      <c r="AY93" s="6">
        <v>0.5</v>
      </c>
      <c r="AZ93" s="4">
        <f>AX93-AY93</f>
        <v>-0.44638968001339663</v>
      </c>
    </row>
    <row r="94" spans="1:52" s="1" customFormat="1" x14ac:dyDescent="0.2">
      <c r="A94" s="2">
        <v>38597</v>
      </c>
      <c r="B94" s="1">
        <v>169</v>
      </c>
      <c r="C94" s="1">
        <v>195</v>
      </c>
      <c r="D94" s="1">
        <f>B94-C94</f>
        <v>-26</v>
      </c>
      <c r="E94" s="2">
        <v>38597</v>
      </c>
      <c r="F94" s="1">
        <v>4.9000000000000004</v>
      </c>
      <c r="G94" s="1">
        <v>5</v>
      </c>
      <c r="H94" s="1">
        <f>F94-G94</f>
        <v>-9.9999999999999645E-2</v>
      </c>
      <c r="I94" s="2">
        <v>38610</v>
      </c>
      <c r="J94" s="1">
        <v>9.9502487562183384E-2</v>
      </c>
      <c r="K94" s="1">
        <v>0.2</v>
      </c>
      <c r="L94" s="4">
        <f>J94-K94</f>
        <v>-0.10049751243781663</v>
      </c>
      <c r="M94" s="2">
        <v>44224</v>
      </c>
      <c r="N94" s="4">
        <v>4.0125143543029651</v>
      </c>
      <c r="O94" s="1">
        <v>4</v>
      </c>
      <c r="P94" s="4">
        <f>N94-O94</f>
        <v>1.2514354302965103E-2</v>
      </c>
      <c r="Q94" s="2">
        <v>39856</v>
      </c>
      <c r="R94" s="4">
        <v>1.0487521696298701</v>
      </c>
      <c r="S94" s="1">
        <v>-0.8</v>
      </c>
      <c r="T94" s="4">
        <f>R94-S94</f>
        <v>1.8487521696298701</v>
      </c>
      <c r="U94" s="2">
        <v>38628</v>
      </c>
      <c r="V94" s="1" t="s">
        <v>52</v>
      </c>
      <c r="W94" s="1" t="s">
        <v>52</v>
      </c>
      <c r="X94" s="1">
        <v>6.9</v>
      </c>
      <c r="Y94" s="2">
        <v>39197</v>
      </c>
      <c r="Z94" s="5">
        <v>3.4135705299999999</v>
      </c>
      <c r="AA94" s="1">
        <v>2.2999999999999998</v>
      </c>
      <c r="AB94" s="1">
        <f>Z94-AA94</f>
        <v>1.1135705300000001</v>
      </c>
      <c r="AC94" s="2">
        <v>39167</v>
      </c>
      <c r="AD94" s="5">
        <v>0.84799999999999998</v>
      </c>
      <c r="AE94" s="6">
        <v>0.995</v>
      </c>
      <c r="AF94" s="7">
        <f>AD94-AE94</f>
        <v>-0.14700000000000002</v>
      </c>
      <c r="AG94" s="8">
        <v>38622</v>
      </c>
      <c r="AH94" s="6">
        <v>87.5</v>
      </c>
      <c r="AI94" s="1">
        <v>95.8</v>
      </c>
      <c r="AJ94" s="1">
        <f>AH94-AI94</f>
        <v>-8.2999999999999972</v>
      </c>
      <c r="AK94" s="2">
        <v>39605</v>
      </c>
      <c r="AL94" s="1">
        <v>0.33557046979866278</v>
      </c>
      <c r="AM94" s="1">
        <v>0.2</v>
      </c>
      <c r="AN94" s="4">
        <f>AL94-AM94</f>
        <v>0.13557046979866277</v>
      </c>
      <c r="AO94" s="2">
        <v>38610</v>
      </c>
      <c r="AP94" s="5">
        <v>0.51255766000000003</v>
      </c>
      <c r="AQ94" s="1">
        <v>0.5</v>
      </c>
      <c r="AR94" s="4">
        <f>AP94-AQ94</f>
        <v>1.2557660000000026E-2</v>
      </c>
      <c r="AS94" s="2">
        <v>38608</v>
      </c>
      <c r="AT94" s="5">
        <v>-57.94</v>
      </c>
      <c r="AU94" s="1">
        <v>-59.5</v>
      </c>
      <c r="AV94" s="4">
        <f>AT94-AU94</f>
        <v>1.5600000000000023</v>
      </c>
      <c r="AW94" s="9">
        <v>38609</v>
      </c>
      <c r="AX94" s="4">
        <v>0.14392582799189699</v>
      </c>
      <c r="AY94" s="6">
        <v>0.3</v>
      </c>
      <c r="AZ94" s="4">
        <f>AX94-AY94</f>
        <v>-0.156074172008103</v>
      </c>
    </row>
    <row r="95" spans="1:52" s="1" customFormat="1" x14ac:dyDescent="0.2">
      <c r="A95" s="2">
        <v>38632</v>
      </c>
      <c r="B95" s="1">
        <v>-35</v>
      </c>
      <c r="C95" s="1">
        <v>-125</v>
      </c>
      <c r="D95" s="1">
        <f>B95-C95</f>
        <v>90</v>
      </c>
      <c r="E95" s="2">
        <v>38632</v>
      </c>
      <c r="F95" s="1">
        <v>5.0999999999999996</v>
      </c>
      <c r="G95" s="1">
        <v>5.0999999999999996</v>
      </c>
      <c r="H95" s="1">
        <f>F95-G95</f>
        <v>0</v>
      </c>
      <c r="I95" s="2">
        <v>38639</v>
      </c>
      <c r="J95" s="1">
        <v>9.9403578528835523E-2</v>
      </c>
      <c r="K95" s="1">
        <v>0.2</v>
      </c>
      <c r="L95" s="4">
        <f>J95-K95</f>
        <v>-0.10059642147116449</v>
      </c>
      <c r="M95" s="2">
        <v>44315</v>
      </c>
      <c r="N95" s="4">
        <v>6.3864024539310282</v>
      </c>
      <c r="O95" s="1">
        <v>6.1</v>
      </c>
      <c r="P95" s="4">
        <f>N95-O95</f>
        <v>0.28640245393102859</v>
      </c>
      <c r="Q95" s="2">
        <v>39884</v>
      </c>
      <c r="R95" s="4">
        <v>-0.109737867629057</v>
      </c>
      <c r="S95" s="1">
        <v>-0.5</v>
      </c>
      <c r="T95" s="4">
        <f>R95-S95</f>
        <v>0.39026213237094298</v>
      </c>
      <c r="U95" s="2">
        <v>38657</v>
      </c>
      <c r="V95" s="1" t="s">
        <v>52</v>
      </c>
      <c r="W95" s="1" t="s">
        <v>52</v>
      </c>
      <c r="X95" s="1">
        <v>1.1000000000000001</v>
      </c>
      <c r="Y95" s="2">
        <v>39226</v>
      </c>
      <c r="Z95" s="5">
        <v>0.60075730000000005</v>
      </c>
      <c r="AA95" s="1">
        <v>0.7</v>
      </c>
      <c r="AB95" s="1">
        <f>Z95-AA95</f>
        <v>-9.9242699999999906E-2</v>
      </c>
      <c r="AC95" s="2">
        <v>39197</v>
      </c>
      <c r="AD95" s="5">
        <v>0.85799999999999998</v>
      </c>
      <c r="AE95" s="6">
        <v>0.9</v>
      </c>
      <c r="AF95" s="7">
        <f>AD95-AE95</f>
        <v>-4.2000000000000037E-2</v>
      </c>
      <c r="AG95" s="8">
        <v>38650</v>
      </c>
      <c r="AH95" s="6">
        <v>85.2</v>
      </c>
      <c r="AI95" s="1">
        <v>88.8</v>
      </c>
      <c r="AJ95" s="1">
        <f>AH95-AI95</f>
        <v>-3.5999999999999943</v>
      </c>
      <c r="AK95" s="2">
        <v>39632</v>
      </c>
      <c r="AL95" s="1">
        <v>0.39018952062430667</v>
      </c>
      <c r="AM95" s="1">
        <v>0.3</v>
      </c>
      <c r="AN95" s="4">
        <f>AL95-AM95</f>
        <v>9.0189520624306685E-2</v>
      </c>
      <c r="AO95" s="2">
        <v>38639</v>
      </c>
      <c r="AP95" s="5">
        <v>1.22386537</v>
      </c>
      <c r="AQ95" s="1">
        <v>0.9</v>
      </c>
      <c r="AR95" s="4">
        <f>AP95-AQ95</f>
        <v>0.32386536999999993</v>
      </c>
      <c r="AS95" s="2">
        <v>38638</v>
      </c>
      <c r="AT95" s="5">
        <v>-59.029000000000003</v>
      </c>
      <c r="AU95" s="1">
        <v>-59.7</v>
      </c>
      <c r="AV95" s="4">
        <f>AT95-AU95</f>
        <v>0.67099999999999937</v>
      </c>
      <c r="AW95" s="9">
        <v>38639</v>
      </c>
      <c r="AX95" s="4">
        <v>-1.3334893947880999</v>
      </c>
      <c r="AY95" s="6">
        <v>-0.3</v>
      </c>
      <c r="AZ95" s="4">
        <f>AX95-AY95</f>
        <v>-1.0334893947880999</v>
      </c>
    </row>
    <row r="96" spans="1:52" s="1" customFormat="1" x14ac:dyDescent="0.2">
      <c r="A96" s="2">
        <v>38660</v>
      </c>
      <c r="B96" s="1">
        <v>56</v>
      </c>
      <c r="C96" s="1">
        <v>100</v>
      </c>
      <c r="D96" s="1">
        <f>B96-C96</f>
        <v>-44</v>
      </c>
      <c r="E96" s="2">
        <v>38660</v>
      </c>
      <c r="F96" s="1">
        <v>5</v>
      </c>
      <c r="G96" s="1">
        <v>5.0999999999999996</v>
      </c>
      <c r="H96" s="1">
        <f>F96-G96</f>
        <v>-9.9999999999999645E-2</v>
      </c>
      <c r="I96" s="2">
        <v>38672</v>
      </c>
      <c r="J96" s="1">
        <v>0.24826216484607747</v>
      </c>
      <c r="K96" s="1">
        <v>0.1</v>
      </c>
      <c r="L96" s="4">
        <f>J96-K96</f>
        <v>0.14826216484607746</v>
      </c>
      <c r="M96" s="2">
        <v>44406</v>
      </c>
      <c r="N96" s="4">
        <v>6.5030906017845114</v>
      </c>
      <c r="O96" s="1">
        <v>8.5</v>
      </c>
      <c r="P96" s="4">
        <f>N96-O96</f>
        <v>-1.9969093982154886</v>
      </c>
      <c r="Q96" s="2">
        <v>39917</v>
      </c>
      <c r="R96" s="4">
        <v>-1.1422124876922899</v>
      </c>
      <c r="S96" s="1">
        <v>0.3</v>
      </c>
      <c r="T96" s="4">
        <f>R96-S96</f>
        <v>-1.4422124876922899</v>
      </c>
      <c r="U96" s="2">
        <v>38687</v>
      </c>
      <c r="V96" s="1" t="s">
        <v>52</v>
      </c>
      <c r="W96" s="1" t="s">
        <v>52</v>
      </c>
      <c r="X96" s="1">
        <v>0.3</v>
      </c>
      <c r="Y96" s="2">
        <v>39260</v>
      </c>
      <c r="Z96" s="5">
        <v>-2.7821261000000002</v>
      </c>
      <c r="AA96" s="1">
        <v>-1</v>
      </c>
      <c r="AB96" s="1">
        <f>Z96-AA96</f>
        <v>-1.7821261000000002</v>
      </c>
      <c r="AC96" s="2">
        <v>39226</v>
      </c>
      <c r="AD96" s="5">
        <v>0.98099999999999998</v>
      </c>
      <c r="AE96" s="6">
        <v>0.86</v>
      </c>
      <c r="AF96" s="7">
        <f>AD96-AE96</f>
        <v>0.121</v>
      </c>
      <c r="AG96" s="8">
        <v>38685</v>
      </c>
      <c r="AH96" s="6">
        <v>98.3</v>
      </c>
      <c r="AI96" s="1">
        <v>91</v>
      </c>
      <c r="AJ96" s="1">
        <f>AH96-AI96</f>
        <v>7.2999999999999972</v>
      </c>
      <c r="AK96" s="2">
        <v>39661</v>
      </c>
      <c r="AL96" s="1">
        <v>0.27762354247637955</v>
      </c>
      <c r="AM96" s="1">
        <v>0.3</v>
      </c>
      <c r="AN96" s="4">
        <f>AL96-AM96</f>
        <v>-2.2376457523620441E-2</v>
      </c>
      <c r="AO96" s="2">
        <v>38672</v>
      </c>
      <c r="AP96" s="5">
        <v>0.20151134000000001</v>
      </c>
      <c r="AQ96" s="1">
        <v>0.1</v>
      </c>
      <c r="AR96" s="4">
        <f>AP96-AQ96</f>
        <v>0.10151134000000001</v>
      </c>
      <c r="AS96" s="2">
        <v>38666</v>
      </c>
      <c r="AT96" s="5">
        <v>-66.105999999999995</v>
      </c>
      <c r="AU96" s="1">
        <v>-60.5</v>
      </c>
      <c r="AV96" s="4">
        <f>AT96-AU96</f>
        <v>-5.6059999999999945</v>
      </c>
      <c r="AW96" s="9">
        <v>38673</v>
      </c>
      <c r="AX96" s="4">
        <v>0.947933822428498</v>
      </c>
      <c r="AY96" s="6">
        <v>0.9</v>
      </c>
      <c r="AZ96" s="4">
        <f>AX96-AY96</f>
        <v>4.7933822428497974E-2</v>
      </c>
    </row>
    <row r="97" spans="1:52" s="1" customFormat="1" x14ac:dyDescent="0.2">
      <c r="A97" s="2">
        <v>38688</v>
      </c>
      <c r="B97" s="1">
        <v>215</v>
      </c>
      <c r="C97" s="1">
        <v>210</v>
      </c>
      <c r="D97" s="1">
        <f>B97-C97</f>
        <v>5</v>
      </c>
      <c r="E97" s="2">
        <v>38688</v>
      </c>
      <c r="F97" s="1">
        <v>5</v>
      </c>
      <c r="G97" s="1">
        <v>5</v>
      </c>
      <c r="H97" s="1">
        <f>F97-G97</f>
        <v>0</v>
      </c>
      <c r="I97" s="2">
        <v>38701</v>
      </c>
      <c r="J97" s="1">
        <v>0.24764735017335313</v>
      </c>
      <c r="K97" s="1">
        <v>0.2</v>
      </c>
      <c r="L97" s="4">
        <f>J97-K97</f>
        <v>4.7647350173353115E-2</v>
      </c>
      <c r="M97" s="2">
        <v>44497</v>
      </c>
      <c r="N97" s="4">
        <v>2.0159609351957597</v>
      </c>
      <c r="O97" s="1">
        <v>2.7</v>
      </c>
      <c r="P97" s="4">
        <f>N97-O97</f>
        <v>-0.68403906480424048</v>
      </c>
      <c r="Q97" s="2">
        <v>39946</v>
      </c>
      <c r="R97" s="4">
        <v>-0.36969285693210902</v>
      </c>
      <c r="S97" s="1">
        <v>0</v>
      </c>
      <c r="T97" s="4">
        <f>R97-S97</f>
        <v>-0.36969285693210902</v>
      </c>
      <c r="U97" s="2">
        <v>38720</v>
      </c>
      <c r="V97" s="1" t="s">
        <v>52</v>
      </c>
      <c r="W97" s="1" t="s">
        <v>52</v>
      </c>
      <c r="X97" s="1">
        <v>-3.1</v>
      </c>
      <c r="Y97" s="2">
        <v>39289</v>
      </c>
      <c r="Z97" s="5">
        <v>1.4170248599999999</v>
      </c>
      <c r="AA97" s="1">
        <v>2</v>
      </c>
      <c r="AB97" s="1">
        <f>Z97-AA97</f>
        <v>-0.58297514000000006</v>
      </c>
      <c r="AC97" s="2">
        <v>39259</v>
      </c>
      <c r="AD97" s="5">
        <v>0.91500000000000004</v>
      </c>
      <c r="AE97" s="6">
        <v>0.92</v>
      </c>
      <c r="AF97" s="7">
        <f>AD97-AE97</f>
        <v>-5.0000000000000044E-3</v>
      </c>
      <c r="AG97" s="8">
        <v>38714</v>
      </c>
      <c r="AH97" s="6">
        <v>103.8</v>
      </c>
      <c r="AI97" s="1">
        <v>102.3</v>
      </c>
      <c r="AJ97" s="1">
        <f>AH97-AI97</f>
        <v>1.5</v>
      </c>
      <c r="AK97" s="2">
        <v>39696</v>
      </c>
      <c r="AL97" s="1">
        <v>0.44296788482836025</v>
      </c>
      <c r="AM97" s="1">
        <v>0.3</v>
      </c>
      <c r="AN97" s="4">
        <f>AL97-AM97</f>
        <v>0.14296788482836026</v>
      </c>
      <c r="AO97" s="2">
        <v>38701</v>
      </c>
      <c r="AP97" s="5">
        <v>-0.55304169999999997</v>
      </c>
      <c r="AQ97" s="1">
        <v>-0.3</v>
      </c>
      <c r="AR97" s="4">
        <f>AP97-AQ97</f>
        <v>-0.25304169999999998</v>
      </c>
      <c r="AS97" s="2">
        <v>38700</v>
      </c>
      <c r="AT97" s="5">
        <v>-68.885000000000005</v>
      </c>
      <c r="AU97" s="1">
        <v>-63</v>
      </c>
      <c r="AV97" s="4">
        <f>AT97-AU97</f>
        <v>-5.8850000000000051</v>
      </c>
      <c r="AW97" s="9">
        <v>38701</v>
      </c>
      <c r="AX97" s="4">
        <v>0.69309675630718004</v>
      </c>
      <c r="AY97" s="6">
        <v>0.5</v>
      </c>
      <c r="AZ97" s="4">
        <f>AX97-AY97</f>
        <v>0.19309675630718004</v>
      </c>
    </row>
    <row r="98" spans="1:52" s="1" customFormat="1" x14ac:dyDescent="0.2">
      <c r="A98" s="2">
        <v>38723</v>
      </c>
      <c r="B98" s="1">
        <v>108</v>
      </c>
      <c r="C98" s="1">
        <v>215</v>
      </c>
      <c r="D98" s="1">
        <f>B98-C98</f>
        <v>-107</v>
      </c>
      <c r="E98" s="2">
        <v>38723</v>
      </c>
      <c r="F98" s="1">
        <v>4.9000000000000004</v>
      </c>
      <c r="G98" s="1">
        <v>5</v>
      </c>
      <c r="H98" s="1">
        <f>F98-G98</f>
        <v>-9.9999999999999645E-2</v>
      </c>
      <c r="I98" s="2">
        <v>38735</v>
      </c>
      <c r="J98" s="1">
        <v>0.19762845849802652</v>
      </c>
      <c r="K98" s="1">
        <v>0.2</v>
      </c>
      <c r="L98" s="4">
        <f>J98-K98</f>
        <v>-2.3715415019734953E-3</v>
      </c>
      <c r="M98" s="2">
        <v>44588</v>
      </c>
      <c r="N98" s="4">
        <v>6.8874405829690843</v>
      </c>
      <c r="O98" s="1">
        <v>5.5</v>
      </c>
      <c r="P98" s="4">
        <f>N98-O98</f>
        <v>1.3874405829690843</v>
      </c>
      <c r="Q98" s="2">
        <v>39975</v>
      </c>
      <c r="R98" s="4">
        <v>0.46421331946504601</v>
      </c>
      <c r="S98" s="1">
        <v>0.5</v>
      </c>
      <c r="T98" s="4">
        <f>R98-S98</f>
        <v>-3.5786680534953985E-2</v>
      </c>
      <c r="U98" s="2">
        <v>38749</v>
      </c>
      <c r="V98" s="1" t="s">
        <v>52</v>
      </c>
      <c r="W98" s="1" t="s">
        <v>52</v>
      </c>
      <c r="X98" s="1">
        <v>-1.2</v>
      </c>
      <c r="Y98" s="2">
        <v>39318</v>
      </c>
      <c r="Z98" s="5">
        <v>5.9214604199999998</v>
      </c>
      <c r="AA98" s="1">
        <v>1.1000000000000001</v>
      </c>
      <c r="AB98" s="1">
        <f>Z98-AA98</f>
        <v>4.8214604199999993</v>
      </c>
      <c r="AC98" s="2">
        <v>39289</v>
      </c>
      <c r="AD98" s="5">
        <v>0.83399999999999996</v>
      </c>
      <c r="AE98" s="6">
        <v>0.89</v>
      </c>
      <c r="AF98" s="7">
        <f>AD98-AE98</f>
        <v>-5.600000000000005E-2</v>
      </c>
      <c r="AG98" s="8">
        <v>38748</v>
      </c>
      <c r="AH98" s="6">
        <v>106.8</v>
      </c>
      <c r="AI98" s="1">
        <v>104.8</v>
      </c>
      <c r="AJ98" s="1">
        <f>AH98-AI98</f>
        <v>2</v>
      </c>
      <c r="AK98" s="2">
        <v>39724</v>
      </c>
      <c r="AL98" s="1">
        <v>0.16538037486217849</v>
      </c>
      <c r="AM98" s="1">
        <v>0.3</v>
      </c>
      <c r="AN98" s="4">
        <f>AL98-AM98</f>
        <v>-0.1346196251378215</v>
      </c>
      <c r="AO98" s="2">
        <v>38735</v>
      </c>
      <c r="AP98" s="5">
        <v>-5.05561E-2</v>
      </c>
      <c r="AQ98" s="1">
        <v>0.2</v>
      </c>
      <c r="AR98" s="4">
        <f>AP98-AQ98</f>
        <v>-0.2505561</v>
      </c>
      <c r="AS98" s="2">
        <v>38729</v>
      </c>
      <c r="AT98" s="5">
        <v>-64.206999999999994</v>
      </c>
      <c r="AU98" s="1">
        <v>-65.599999999999994</v>
      </c>
      <c r="AV98" s="4">
        <f>AT98-AU98</f>
        <v>1.3930000000000007</v>
      </c>
      <c r="AW98" s="9">
        <v>38734</v>
      </c>
      <c r="AX98" s="4">
        <v>0.61692746289726896</v>
      </c>
      <c r="AY98" s="6">
        <v>0.6</v>
      </c>
      <c r="AZ98" s="4">
        <f>AX98-AY98</f>
        <v>1.6927462897268986E-2</v>
      </c>
    </row>
    <row r="99" spans="1:52" s="1" customFormat="1" x14ac:dyDescent="0.2">
      <c r="A99" s="2">
        <v>38751</v>
      </c>
      <c r="B99" s="1">
        <v>193</v>
      </c>
      <c r="C99" s="1">
        <v>250</v>
      </c>
      <c r="D99" s="1">
        <f>B99-C99</f>
        <v>-57</v>
      </c>
      <c r="E99" s="2">
        <v>38751</v>
      </c>
      <c r="F99" s="1">
        <v>4.7</v>
      </c>
      <c r="G99" s="1">
        <v>4.9000000000000004</v>
      </c>
      <c r="H99" s="1">
        <f>F99-G99</f>
        <v>-0.20000000000000018</v>
      </c>
      <c r="I99" s="2">
        <v>38770</v>
      </c>
      <c r="J99" s="1">
        <v>0.19723865877710908</v>
      </c>
      <c r="K99" s="1">
        <v>0.2</v>
      </c>
      <c r="L99" s="4">
        <f>J99-K99</f>
        <v>-2.7613412228909284E-3</v>
      </c>
      <c r="M99" s="2">
        <v>44679</v>
      </c>
      <c r="N99" s="4">
        <v>-1.4141082320260567</v>
      </c>
      <c r="O99" s="1">
        <v>1.1000000000000001</v>
      </c>
      <c r="P99" s="4">
        <f>N99-O99</f>
        <v>-2.5141082320260568</v>
      </c>
      <c r="Q99" s="2">
        <v>40008</v>
      </c>
      <c r="R99" s="4">
        <v>0.64895332007577899</v>
      </c>
      <c r="S99" s="1">
        <v>0.4</v>
      </c>
      <c r="T99" s="4">
        <f>R99-S99</f>
        <v>0.24895332007577897</v>
      </c>
      <c r="U99" s="2">
        <v>38777</v>
      </c>
      <c r="V99" s="1" t="s">
        <v>52</v>
      </c>
      <c r="W99" s="1" t="s">
        <v>52</v>
      </c>
      <c r="X99" s="1">
        <v>1.1000000000000001</v>
      </c>
      <c r="Y99" s="2">
        <v>39351</v>
      </c>
      <c r="Z99" s="5">
        <v>-4.8858579999999998</v>
      </c>
      <c r="AA99" s="1">
        <v>-3.1</v>
      </c>
      <c r="AB99" s="1">
        <f>Z99-AA99</f>
        <v>-1.7858579999999997</v>
      </c>
      <c r="AC99" s="2">
        <v>39318</v>
      </c>
      <c r="AD99" s="5">
        <v>0.87</v>
      </c>
      <c r="AE99" s="6">
        <v>0.82499999999999996</v>
      </c>
      <c r="AF99" s="7">
        <f>AD99-AE99</f>
        <v>4.500000000000004E-2</v>
      </c>
      <c r="AG99" s="8">
        <v>38776</v>
      </c>
      <c r="AH99" s="6">
        <v>102.7</v>
      </c>
      <c r="AI99" s="1">
        <v>104.7</v>
      </c>
      <c r="AJ99" s="1">
        <f>AH99-AI99</f>
        <v>-2</v>
      </c>
      <c r="AK99" s="2">
        <v>39759</v>
      </c>
      <c r="AL99" s="1">
        <v>0.22014309301046087</v>
      </c>
      <c r="AM99" s="1">
        <v>0.2</v>
      </c>
      <c r="AN99" s="4">
        <f>AL99-AM99</f>
        <v>2.0143093010460855E-2</v>
      </c>
      <c r="AO99" s="2">
        <v>38770</v>
      </c>
      <c r="AP99" s="5">
        <v>0.65756196</v>
      </c>
      <c r="AQ99" s="1">
        <v>0.4</v>
      </c>
      <c r="AR99" s="4">
        <f>AP99-AQ99</f>
        <v>0.25756195999999998</v>
      </c>
      <c r="AS99" s="2">
        <v>38758</v>
      </c>
      <c r="AT99" s="5">
        <v>-65.677000000000007</v>
      </c>
      <c r="AU99" s="1">
        <v>-64.8</v>
      </c>
      <c r="AV99" s="4">
        <f>AT99-AU99</f>
        <v>-0.87700000000000955</v>
      </c>
      <c r="AW99" s="9">
        <v>38763</v>
      </c>
      <c r="AX99" s="4">
        <v>-0.24425768280877799</v>
      </c>
      <c r="AY99" s="6">
        <v>0.3</v>
      </c>
      <c r="AZ99" s="4">
        <f>AX99-AY99</f>
        <v>-0.54425768280877795</v>
      </c>
    </row>
    <row r="100" spans="1:52" s="1" customFormat="1" x14ac:dyDescent="0.2">
      <c r="A100" s="2">
        <v>38786</v>
      </c>
      <c r="B100" s="1">
        <v>243</v>
      </c>
      <c r="C100" s="1">
        <v>210</v>
      </c>
      <c r="D100" s="1">
        <f>B100-C100</f>
        <v>33</v>
      </c>
      <c r="E100" s="2">
        <v>38786</v>
      </c>
      <c r="F100" s="1">
        <v>4.8</v>
      </c>
      <c r="G100" s="1">
        <v>4.8</v>
      </c>
      <c r="H100" s="1">
        <f>F100-G100</f>
        <v>0</v>
      </c>
      <c r="I100" s="2">
        <v>38792</v>
      </c>
      <c r="J100" s="1">
        <v>0.14763779527559615</v>
      </c>
      <c r="K100" s="1">
        <v>0.2</v>
      </c>
      <c r="L100" s="4">
        <f>J100-K100</f>
        <v>-5.2362204724403866E-2</v>
      </c>
      <c r="M100" s="2">
        <v>44770</v>
      </c>
      <c r="N100" s="4">
        <v>-0.9341829174048577</v>
      </c>
      <c r="O100" s="1">
        <v>0.5</v>
      </c>
      <c r="P100" s="4">
        <f>N100-O100</f>
        <v>-1.4341829174048577</v>
      </c>
      <c r="Q100" s="2">
        <v>40038</v>
      </c>
      <c r="R100" s="4">
        <v>-5.4890991745913102E-2</v>
      </c>
      <c r="S100" s="1">
        <v>0.7</v>
      </c>
      <c r="T100" s="4">
        <f>R100-S100</f>
        <v>-0.75489099174591301</v>
      </c>
      <c r="U100" s="2">
        <v>38810</v>
      </c>
      <c r="V100" s="1" t="s">
        <v>52</v>
      </c>
      <c r="W100" s="1" t="s">
        <v>52</v>
      </c>
      <c r="X100" s="1">
        <v>-2.2999999999999998</v>
      </c>
      <c r="Y100" s="2">
        <v>39380</v>
      </c>
      <c r="Z100" s="5">
        <v>-1.7265231000000001</v>
      </c>
      <c r="AA100" s="1">
        <v>1.5</v>
      </c>
      <c r="AB100" s="1">
        <f>Z100-AA100</f>
        <v>-3.2265231000000001</v>
      </c>
      <c r="AC100" s="2">
        <v>39352</v>
      </c>
      <c r="AD100" s="5">
        <v>0.79500000000000004</v>
      </c>
      <c r="AE100" s="6">
        <v>0.83</v>
      </c>
      <c r="AF100" s="7">
        <f>AD100-AE100</f>
        <v>-3.499999999999992E-2</v>
      </c>
      <c r="AG100" s="8">
        <v>38804</v>
      </c>
      <c r="AH100" s="6">
        <v>107.5</v>
      </c>
      <c r="AI100" s="1">
        <v>101.5</v>
      </c>
      <c r="AJ100" s="1">
        <f>AH100-AI100</f>
        <v>6</v>
      </c>
      <c r="AK100" s="2">
        <v>39787</v>
      </c>
      <c r="AL100" s="1">
        <v>0.49423393739702615</v>
      </c>
      <c r="AM100" s="1">
        <v>0.2</v>
      </c>
      <c r="AN100" s="4">
        <f>AL100-AM100</f>
        <v>0.29423393739702614</v>
      </c>
      <c r="AO100" s="2">
        <v>38792</v>
      </c>
      <c r="AP100" s="5">
        <v>5.0251259999999999E-2</v>
      </c>
      <c r="AQ100" s="1">
        <v>0.1</v>
      </c>
      <c r="AR100" s="4">
        <f>AP100-AQ100</f>
        <v>-4.9748740000000007E-2</v>
      </c>
      <c r="AS100" s="2">
        <v>38785</v>
      </c>
      <c r="AT100" s="5">
        <v>-68.513000000000005</v>
      </c>
      <c r="AU100" s="1">
        <v>-66.3</v>
      </c>
      <c r="AV100" s="4">
        <f>AT100-AU100</f>
        <v>-2.2130000000000081</v>
      </c>
      <c r="AW100" s="9">
        <v>38793</v>
      </c>
      <c r="AX100" s="4">
        <v>0.65543411162350995</v>
      </c>
      <c r="AY100" s="6">
        <v>0.7</v>
      </c>
      <c r="AZ100" s="4">
        <f>AX100-AY100</f>
        <v>-4.4565888376490004E-2</v>
      </c>
    </row>
    <row r="101" spans="1:52" s="1" customFormat="1" x14ac:dyDescent="0.2">
      <c r="A101" s="2">
        <v>38814</v>
      </c>
      <c r="B101" s="1">
        <v>211</v>
      </c>
      <c r="C101" s="1">
        <v>195</v>
      </c>
      <c r="D101" s="1">
        <f>B101-C101</f>
        <v>16</v>
      </c>
      <c r="E101" s="2">
        <v>38814</v>
      </c>
      <c r="F101" s="1">
        <v>4.7</v>
      </c>
      <c r="G101" s="1">
        <v>4.8</v>
      </c>
      <c r="H101" s="1">
        <f>F101-G101</f>
        <v>-9.9999999999999645E-2</v>
      </c>
      <c r="I101" s="2">
        <v>38826</v>
      </c>
      <c r="J101" s="1">
        <v>0.34398034398033839</v>
      </c>
      <c r="K101" s="1">
        <v>0.2</v>
      </c>
      <c r="L101" s="4">
        <f>J101-K101</f>
        <v>0.14398034398033838</v>
      </c>
      <c r="M101" s="2">
        <v>44861</v>
      </c>
      <c r="N101" s="4">
        <v>2.5666531325162278</v>
      </c>
      <c r="O101" s="1">
        <v>2.4</v>
      </c>
      <c r="P101" s="4">
        <f>N101-O101</f>
        <v>0.16665313251622793</v>
      </c>
      <c r="Q101" s="2">
        <v>40071</v>
      </c>
      <c r="R101" s="4">
        <v>2.6697440691831198</v>
      </c>
      <c r="S101" s="1">
        <v>2</v>
      </c>
      <c r="T101" s="4">
        <f>R101-S101</f>
        <v>0.66974406918311979</v>
      </c>
      <c r="U101" s="2">
        <v>38838</v>
      </c>
      <c r="V101" s="1" t="s">
        <v>52</v>
      </c>
      <c r="W101" s="1" t="s">
        <v>52</v>
      </c>
      <c r="X101" s="1">
        <v>2.2999999999999998</v>
      </c>
      <c r="Y101" s="2">
        <v>39414</v>
      </c>
      <c r="Z101" s="5">
        <v>-0.41607070000000002</v>
      </c>
      <c r="AA101" s="1">
        <v>0.3</v>
      </c>
      <c r="AB101" s="1">
        <f>Z101-AA101</f>
        <v>-0.71607069999999995</v>
      </c>
      <c r="AC101" s="2">
        <v>39380</v>
      </c>
      <c r="AD101" s="5">
        <v>0.77</v>
      </c>
      <c r="AE101" s="6">
        <v>0.77500000000000002</v>
      </c>
      <c r="AF101" s="7">
        <f>AD101-AE101</f>
        <v>-5.0000000000000044E-3</v>
      </c>
      <c r="AG101" s="8">
        <v>38832</v>
      </c>
      <c r="AH101" s="6">
        <v>109.8</v>
      </c>
      <c r="AI101" s="1">
        <v>106</v>
      </c>
      <c r="AJ101" s="1">
        <f>AH101-AI101</f>
        <v>3.7999999999999972</v>
      </c>
      <c r="AK101" s="2">
        <v>39822</v>
      </c>
      <c r="AL101" s="1">
        <v>0.32786885245901232</v>
      </c>
      <c r="AM101" s="1">
        <v>0.2</v>
      </c>
      <c r="AN101" s="4">
        <f>AL101-AM101</f>
        <v>0.12786885245901231</v>
      </c>
      <c r="AO101" s="2">
        <v>38826</v>
      </c>
      <c r="AP101" s="5">
        <v>0.35158212</v>
      </c>
      <c r="AQ101" s="1">
        <v>0.4</v>
      </c>
      <c r="AR101" s="4">
        <f>AP101-AQ101</f>
        <v>-4.8417880000000024E-2</v>
      </c>
      <c r="AS101" s="2">
        <v>38819</v>
      </c>
      <c r="AT101" s="5">
        <v>-65.742000000000004</v>
      </c>
      <c r="AU101" s="1">
        <v>-67.3</v>
      </c>
      <c r="AV101" s="4">
        <f>AT101-AU101</f>
        <v>1.5579999999999927</v>
      </c>
      <c r="AW101" s="9">
        <v>38821</v>
      </c>
      <c r="AX101" s="4">
        <v>0.57964382067489895</v>
      </c>
      <c r="AY101" s="6">
        <v>0.4</v>
      </c>
      <c r="AZ101" s="4">
        <f>AX101-AY101</f>
        <v>0.17964382067489892</v>
      </c>
    </row>
    <row r="102" spans="1:52" s="1" customFormat="1" x14ac:dyDescent="0.2">
      <c r="A102" s="2">
        <v>38842</v>
      </c>
      <c r="B102" s="1">
        <v>138</v>
      </c>
      <c r="C102" s="1">
        <v>198</v>
      </c>
      <c r="D102" s="1">
        <f>B102-C102</f>
        <v>-60</v>
      </c>
      <c r="E102" s="2">
        <v>38842</v>
      </c>
      <c r="F102" s="1">
        <v>4.7</v>
      </c>
      <c r="G102" s="1">
        <v>4.7</v>
      </c>
      <c r="H102" s="1">
        <f>F102-G102</f>
        <v>0</v>
      </c>
      <c r="I102" s="2">
        <v>38854</v>
      </c>
      <c r="J102" s="1">
        <v>0.29382957884428146</v>
      </c>
      <c r="K102" s="1">
        <v>0.2</v>
      </c>
      <c r="L102" s="4">
        <f>J102-K102</f>
        <v>9.3829578844281447E-2</v>
      </c>
      <c r="M102" s="2">
        <v>44952</v>
      </c>
      <c r="N102" s="4">
        <v>2.8915771510115595</v>
      </c>
      <c r="O102" s="1">
        <v>2.6</v>
      </c>
      <c r="P102" s="4">
        <f>N102-O102</f>
        <v>0.29157715101155945</v>
      </c>
      <c r="Q102" s="2">
        <v>40100</v>
      </c>
      <c r="R102" s="4">
        <v>-1.4853451848464401</v>
      </c>
      <c r="S102" s="1">
        <v>-2.1</v>
      </c>
      <c r="T102" s="4">
        <f>R102-S102</f>
        <v>0.61465481515356002</v>
      </c>
      <c r="U102" s="2">
        <v>38869</v>
      </c>
      <c r="V102" s="1" t="s">
        <v>52</v>
      </c>
      <c r="W102" s="1" t="s">
        <v>52</v>
      </c>
      <c r="X102" s="1">
        <v>-1.6</v>
      </c>
      <c r="Y102" s="2">
        <v>39443</v>
      </c>
      <c r="Z102" s="5">
        <v>7.4122419999999994E-2</v>
      </c>
      <c r="AA102" s="1">
        <v>3</v>
      </c>
      <c r="AB102" s="1">
        <f>Z102-AA102</f>
        <v>-2.9258775799999999</v>
      </c>
      <c r="AC102" s="2">
        <v>39415</v>
      </c>
      <c r="AD102" s="5">
        <v>0.72799999999999998</v>
      </c>
      <c r="AE102" s="6">
        <v>0.753</v>
      </c>
      <c r="AF102" s="7">
        <f>AD102-AE102</f>
        <v>-2.5000000000000022E-2</v>
      </c>
      <c r="AG102" s="8">
        <v>38867</v>
      </c>
      <c r="AH102" s="6">
        <v>104.7</v>
      </c>
      <c r="AI102" s="1">
        <v>102</v>
      </c>
      <c r="AJ102" s="1">
        <f>AH102-AI102</f>
        <v>2.7000000000000028</v>
      </c>
      <c r="AK102" s="2">
        <v>39850</v>
      </c>
      <c r="AL102" s="1">
        <v>0.54466230936820459</v>
      </c>
      <c r="AM102" s="1">
        <v>0.2</v>
      </c>
      <c r="AN102" s="4">
        <f>AL102-AM102</f>
        <v>0.34466230936820458</v>
      </c>
      <c r="AO102" s="2">
        <v>38854</v>
      </c>
      <c r="AP102" s="5">
        <v>0.60060060000000004</v>
      </c>
      <c r="AQ102" s="1">
        <v>0.5</v>
      </c>
      <c r="AR102" s="4">
        <f>AP102-AQ102</f>
        <v>0.10060060000000004</v>
      </c>
      <c r="AS102" s="2">
        <v>38849</v>
      </c>
      <c r="AT102" s="5">
        <v>-62</v>
      </c>
      <c r="AU102" s="1">
        <v>-66.900000000000006</v>
      </c>
      <c r="AV102" s="4">
        <f>AT102-AU102</f>
        <v>4.9000000000000057</v>
      </c>
      <c r="AW102" s="9">
        <v>38853</v>
      </c>
      <c r="AX102" s="4">
        <v>0.76718216065854805</v>
      </c>
      <c r="AY102" s="6">
        <v>0.4</v>
      </c>
      <c r="AZ102" s="4">
        <f>AX102-AY102</f>
        <v>0.36718216065854803</v>
      </c>
    </row>
    <row r="103" spans="1:52" s="1" customFormat="1" x14ac:dyDescent="0.2">
      <c r="A103" s="2">
        <v>38870</v>
      </c>
      <c r="B103" s="1">
        <v>75</v>
      </c>
      <c r="C103" s="1">
        <v>173</v>
      </c>
      <c r="D103" s="1">
        <f>B103-C103</f>
        <v>-98</v>
      </c>
      <c r="E103" s="2">
        <v>38870</v>
      </c>
      <c r="F103" s="1">
        <v>4.5999999999999996</v>
      </c>
      <c r="G103" s="1">
        <v>4.7</v>
      </c>
      <c r="H103" s="1">
        <f>F103-G103</f>
        <v>-0.10000000000000053</v>
      </c>
      <c r="I103" s="2">
        <v>38882</v>
      </c>
      <c r="J103" s="1">
        <v>0.29296874999999722</v>
      </c>
      <c r="K103" s="1">
        <v>0.2</v>
      </c>
      <c r="L103" s="4">
        <f>J103-K103</f>
        <v>9.2968749999997213E-2</v>
      </c>
      <c r="M103" s="2">
        <v>45043</v>
      </c>
      <c r="N103" s="4">
        <v>1.0622911479685637</v>
      </c>
      <c r="O103" s="1">
        <v>2</v>
      </c>
      <c r="P103" s="4">
        <f>N103-O103</f>
        <v>-0.93770885203143628</v>
      </c>
      <c r="Q103" s="2">
        <v>40133</v>
      </c>
      <c r="R103" s="4">
        <v>1.3711298401612599</v>
      </c>
      <c r="S103" s="1">
        <v>1</v>
      </c>
      <c r="T103" s="4">
        <f>R103-S103</f>
        <v>0.37112984016125994</v>
      </c>
      <c r="U103" s="2">
        <v>38901</v>
      </c>
      <c r="V103" s="1" t="s">
        <v>52</v>
      </c>
      <c r="W103" s="1" t="s">
        <v>52</v>
      </c>
      <c r="X103" s="1">
        <v>-1.1000000000000001</v>
      </c>
      <c r="Y103" s="2">
        <v>39476</v>
      </c>
      <c r="Z103" s="5">
        <v>5.1839783099999996</v>
      </c>
      <c r="AA103" s="1">
        <v>1.6</v>
      </c>
      <c r="AB103" s="1">
        <f>Z103-AA103</f>
        <v>3.5839783099999996</v>
      </c>
      <c r="AC103" s="2">
        <v>39444</v>
      </c>
      <c r="AD103" s="5">
        <v>0.64700000000000002</v>
      </c>
      <c r="AE103" s="6">
        <v>0.72</v>
      </c>
      <c r="AF103" s="7">
        <f>AD103-AE103</f>
        <v>-7.2999999999999954E-2</v>
      </c>
      <c r="AG103" s="8">
        <v>38895</v>
      </c>
      <c r="AH103" s="6">
        <v>105.4</v>
      </c>
      <c r="AI103" s="1">
        <v>104</v>
      </c>
      <c r="AJ103" s="1">
        <f>AH103-AI103</f>
        <v>1.4000000000000057</v>
      </c>
      <c r="AK103" s="2">
        <v>39878</v>
      </c>
      <c r="AL103" s="1">
        <v>5.4171180931739116E-2</v>
      </c>
      <c r="AM103" s="1">
        <v>0.2</v>
      </c>
      <c r="AN103" s="4">
        <f>AL103-AM103</f>
        <v>-0.1458288190682609</v>
      </c>
      <c r="AO103" s="2">
        <v>38882</v>
      </c>
      <c r="AP103" s="5">
        <v>0.44776118999999998</v>
      </c>
      <c r="AQ103" s="1">
        <v>0.4</v>
      </c>
      <c r="AR103" s="4">
        <f>AP103-AQ103</f>
        <v>4.7761189999999953E-2</v>
      </c>
      <c r="AS103" s="2">
        <v>38877</v>
      </c>
      <c r="AT103" s="5">
        <v>-63.426000000000002</v>
      </c>
      <c r="AU103" s="1">
        <v>-65</v>
      </c>
      <c r="AV103" s="4">
        <f>AT103-AU103</f>
        <v>1.5739999999999981</v>
      </c>
      <c r="AW103" s="9">
        <v>38883</v>
      </c>
      <c r="AX103" s="4">
        <v>-8.2715418849308095E-2</v>
      </c>
      <c r="AY103" s="6">
        <v>0.2</v>
      </c>
      <c r="AZ103" s="4">
        <f>AX103-AY103</f>
        <v>-0.28271541884930812</v>
      </c>
    </row>
    <row r="104" spans="1:52" s="1" customFormat="1" x14ac:dyDescent="0.2">
      <c r="A104" s="2">
        <v>38905</v>
      </c>
      <c r="B104" s="1">
        <v>121</v>
      </c>
      <c r="C104" s="1">
        <v>175</v>
      </c>
      <c r="D104" s="1">
        <f>B104-C104</f>
        <v>-54</v>
      </c>
      <c r="E104" s="2">
        <v>38905</v>
      </c>
      <c r="F104" s="1">
        <v>4.5999999999999996</v>
      </c>
      <c r="G104" s="1">
        <v>4.5999999999999996</v>
      </c>
      <c r="H104" s="1">
        <f>F104-G104</f>
        <v>0</v>
      </c>
      <c r="I104" s="2">
        <v>38917</v>
      </c>
      <c r="J104" s="1">
        <v>0.29211295034079565</v>
      </c>
      <c r="K104" s="1">
        <v>0.2</v>
      </c>
      <c r="L104" s="4">
        <f>J104-K104</f>
        <v>9.2112950340795641E-2</v>
      </c>
      <c r="M104" s="2">
        <v>45134</v>
      </c>
      <c r="N104" s="4">
        <v>2.414286672823307</v>
      </c>
      <c r="O104" s="1">
        <v>1.8</v>
      </c>
      <c r="P104" s="4">
        <f>N104-O104</f>
        <v>0.61428667282330696</v>
      </c>
      <c r="Q104" s="2">
        <v>40158</v>
      </c>
      <c r="R104" s="4">
        <v>1.28536701140662</v>
      </c>
      <c r="S104" s="1">
        <v>0.7</v>
      </c>
      <c r="T104" s="4">
        <f>R104-S104</f>
        <v>0.58536701140662006</v>
      </c>
      <c r="U104" s="2">
        <v>38930</v>
      </c>
      <c r="V104" s="1" t="s">
        <v>52</v>
      </c>
      <c r="W104" s="1" t="s">
        <v>52</v>
      </c>
      <c r="X104" s="1">
        <v>0.7</v>
      </c>
      <c r="Y104" s="2">
        <v>39505</v>
      </c>
      <c r="Z104" s="5">
        <v>-5.3266125999999998</v>
      </c>
      <c r="AA104" s="1">
        <v>-3.5</v>
      </c>
      <c r="AB104" s="1">
        <f>Z104-AA104</f>
        <v>-1.8266125999999998</v>
      </c>
      <c r="AC104" s="2">
        <v>39475</v>
      </c>
      <c r="AD104" s="5">
        <v>0.60399999999999998</v>
      </c>
      <c r="AE104" s="6">
        <v>0.64500000000000002</v>
      </c>
      <c r="AF104" s="7">
        <f>AD104-AE104</f>
        <v>-4.1000000000000036E-2</v>
      </c>
      <c r="AG104" s="8">
        <v>38923</v>
      </c>
      <c r="AH104" s="6">
        <v>107</v>
      </c>
      <c r="AI104" s="1">
        <v>104.5</v>
      </c>
      <c r="AJ104" s="1">
        <f>AH104-AI104</f>
        <v>2.5</v>
      </c>
      <c r="AK104" s="2">
        <v>39906</v>
      </c>
      <c r="AL104" s="1">
        <v>0.16242555495398214</v>
      </c>
      <c r="AM104" s="1">
        <v>0.2</v>
      </c>
      <c r="AN104" s="4">
        <f>AL104-AM104</f>
        <v>-3.7574445046017868E-2</v>
      </c>
      <c r="AO104" s="2">
        <v>38917</v>
      </c>
      <c r="AP104" s="5">
        <v>0.19811788</v>
      </c>
      <c r="AQ104" s="1">
        <v>0.2</v>
      </c>
      <c r="AR104" s="4">
        <f>AP104-AQ104</f>
        <v>-1.8821200000000149E-3</v>
      </c>
      <c r="AS104" s="2">
        <v>38910</v>
      </c>
      <c r="AT104" s="5">
        <v>-63.835000000000001</v>
      </c>
      <c r="AU104" s="1">
        <v>-64.5</v>
      </c>
      <c r="AV104" s="4">
        <f>AT104-AU104</f>
        <v>0.66499999999999915</v>
      </c>
      <c r="AW104" s="9">
        <v>38915</v>
      </c>
      <c r="AX104" s="4">
        <v>0.79067676268567799</v>
      </c>
      <c r="AY104" s="6">
        <v>0.5</v>
      </c>
      <c r="AZ104" s="4">
        <f>AX104-AY104</f>
        <v>0.29067676268567799</v>
      </c>
    </row>
    <row r="105" spans="1:52" s="1" customFormat="1" x14ac:dyDescent="0.2">
      <c r="A105" s="2">
        <v>38933</v>
      </c>
      <c r="B105" s="1">
        <v>113</v>
      </c>
      <c r="C105" s="1">
        <v>150</v>
      </c>
      <c r="D105" s="1">
        <f>B105-C105</f>
        <v>-37</v>
      </c>
      <c r="E105" s="2">
        <v>38933</v>
      </c>
      <c r="F105" s="1">
        <v>4.8</v>
      </c>
      <c r="G105" s="1">
        <v>4.5999999999999996</v>
      </c>
      <c r="H105" s="1">
        <f>F105-G105</f>
        <v>0.20000000000000018</v>
      </c>
      <c r="I105" s="2">
        <v>38945</v>
      </c>
      <c r="J105" s="1">
        <v>0.19417475728155617</v>
      </c>
      <c r="K105" s="1">
        <v>0.3</v>
      </c>
      <c r="L105" s="4">
        <f>J105-K105</f>
        <v>-0.10582524271844382</v>
      </c>
      <c r="M105" s="2">
        <v>45225</v>
      </c>
      <c r="N105" s="4">
        <v>4.8780057387637576</v>
      </c>
      <c r="O105" s="1">
        <v>4.3</v>
      </c>
      <c r="P105" s="4">
        <f>N105-O105</f>
        <v>0.57800573876375783</v>
      </c>
      <c r="Q105" s="2">
        <v>40192</v>
      </c>
      <c r="R105" s="4">
        <v>-0.27291913287432401</v>
      </c>
      <c r="S105" s="1">
        <v>0.5</v>
      </c>
      <c r="T105" s="4">
        <f>R105-S105</f>
        <v>-0.77291913287432401</v>
      </c>
      <c r="U105" s="2">
        <v>38961</v>
      </c>
      <c r="V105" s="1" t="s">
        <v>52</v>
      </c>
      <c r="W105" s="1" t="s">
        <v>52</v>
      </c>
      <c r="X105" s="1">
        <v>-0.5</v>
      </c>
      <c r="Y105" s="2">
        <v>39533</v>
      </c>
      <c r="Z105" s="5">
        <v>-1.6761653999999999</v>
      </c>
      <c r="AA105" s="1">
        <v>0.7</v>
      </c>
      <c r="AB105" s="1">
        <f>Z105-AA105</f>
        <v>-2.3761653999999997</v>
      </c>
      <c r="AC105" s="2">
        <v>39505</v>
      </c>
      <c r="AD105" s="5">
        <v>0.58799999999999997</v>
      </c>
      <c r="AE105" s="6">
        <v>0.6</v>
      </c>
      <c r="AF105" s="7">
        <f>AD105-AE105</f>
        <v>-1.2000000000000011E-2</v>
      </c>
      <c r="AG105" s="8">
        <v>38958</v>
      </c>
      <c r="AH105" s="6">
        <v>100.2</v>
      </c>
      <c r="AI105" s="1">
        <v>103</v>
      </c>
      <c r="AJ105" s="1">
        <f>AH105-AI105</f>
        <v>-2.7999999999999972</v>
      </c>
      <c r="AK105" s="2">
        <v>39941</v>
      </c>
      <c r="AL105" s="1">
        <v>5.4054054054053502E-2</v>
      </c>
      <c r="AM105" s="1">
        <v>0.2</v>
      </c>
      <c r="AN105" s="4">
        <f>AL105-AM105</f>
        <v>-0.14594594594594651</v>
      </c>
      <c r="AO105" s="2">
        <v>38945</v>
      </c>
      <c r="AP105" s="5">
        <v>0.44488383999999997</v>
      </c>
      <c r="AQ105" s="1">
        <v>0.4</v>
      </c>
      <c r="AR105" s="4">
        <f>AP105-AQ105</f>
        <v>4.4883839999999953E-2</v>
      </c>
      <c r="AS105" s="2">
        <v>38939</v>
      </c>
      <c r="AT105" s="5">
        <v>-64.804000000000002</v>
      </c>
      <c r="AU105" s="1">
        <v>-64.900000000000006</v>
      </c>
      <c r="AV105" s="4">
        <f>AT105-AU105</f>
        <v>9.6000000000003638E-2</v>
      </c>
      <c r="AW105" s="9">
        <v>38945</v>
      </c>
      <c r="AX105" s="4">
        <v>0.37238712346862202</v>
      </c>
      <c r="AY105" s="6">
        <v>0.5</v>
      </c>
      <c r="AZ105" s="4">
        <f>AX105-AY105</f>
        <v>-0.12761287653137798</v>
      </c>
    </row>
    <row r="106" spans="1:52" s="1" customFormat="1" x14ac:dyDescent="0.2">
      <c r="A106" s="2">
        <v>38961</v>
      </c>
      <c r="B106" s="1">
        <v>128</v>
      </c>
      <c r="C106" s="1">
        <v>125</v>
      </c>
      <c r="D106" s="1">
        <f>B106-C106</f>
        <v>3</v>
      </c>
      <c r="E106" s="2">
        <v>38961</v>
      </c>
      <c r="F106" s="1">
        <v>4.7</v>
      </c>
      <c r="G106" s="1">
        <v>4.7</v>
      </c>
      <c r="H106" s="1">
        <f>F106-G106</f>
        <v>0</v>
      </c>
      <c r="I106" s="2">
        <v>38975</v>
      </c>
      <c r="J106" s="1">
        <v>0.24224806201550386</v>
      </c>
      <c r="K106" s="1">
        <v>0.2</v>
      </c>
      <c r="L106" s="4">
        <f>J106-K106</f>
        <v>4.2248062015503851E-2</v>
      </c>
      <c r="M106" s="2">
        <v>45316</v>
      </c>
      <c r="N106" s="4">
        <v>3.2794404339249184</v>
      </c>
      <c r="O106" s="1">
        <v>2</v>
      </c>
      <c r="P106" s="4">
        <f>N106-O106</f>
        <v>1.2794404339249184</v>
      </c>
      <c r="Q106" s="2">
        <v>40221</v>
      </c>
      <c r="R106" s="4">
        <v>0.477851363373201</v>
      </c>
      <c r="S106" s="1">
        <v>0.3</v>
      </c>
      <c r="T106" s="4">
        <f>R106-S106</f>
        <v>0.17785136337320101</v>
      </c>
      <c r="U106" s="2">
        <v>38992</v>
      </c>
      <c r="V106" s="1" t="s">
        <v>52</v>
      </c>
      <c r="W106" s="1" t="s">
        <v>52</v>
      </c>
      <c r="X106" s="1">
        <v>-1.1000000000000001</v>
      </c>
      <c r="Y106" s="2">
        <v>39562</v>
      </c>
      <c r="Z106" s="5">
        <v>-0.30678879999999997</v>
      </c>
      <c r="AA106" s="1">
        <v>0.6</v>
      </c>
      <c r="AB106" s="1">
        <f>Z106-AA106</f>
        <v>-0.90678879999999995</v>
      </c>
      <c r="AC106" s="2">
        <v>39533</v>
      </c>
      <c r="AD106" s="5">
        <v>0.59</v>
      </c>
      <c r="AE106" s="6">
        <v>0.57499999999999996</v>
      </c>
      <c r="AF106" s="7">
        <f>AD106-AE106</f>
        <v>1.5000000000000013E-2</v>
      </c>
      <c r="AG106" s="8">
        <v>38986</v>
      </c>
      <c r="AH106" s="6">
        <v>105.9</v>
      </c>
      <c r="AI106" s="1">
        <v>103</v>
      </c>
      <c r="AJ106" s="1">
        <f>AH106-AI106</f>
        <v>2.9000000000000057</v>
      </c>
      <c r="AK106" s="2">
        <v>39969</v>
      </c>
      <c r="AL106" s="1">
        <v>0.16207455429495532</v>
      </c>
      <c r="AM106" s="1">
        <v>0.2</v>
      </c>
      <c r="AN106" s="4">
        <f>AL106-AM106</f>
        <v>-3.7925445705044691E-2</v>
      </c>
      <c r="AO106" s="2">
        <v>38975</v>
      </c>
      <c r="AP106" s="5">
        <v>0.24606299000000001</v>
      </c>
      <c r="AQ106" s="1">
        <v>0.3</v>
      </c>
      <c r="AR106" s="4">
        <f>AP106-AQ106</f>
        <v>-5.393700999999998E-2</v>
      </c>
      <c r="AS106" s="2">
        <v>38972</v>
      </c>
      <c r="AT106" s="5">
        <v>-68.043999999999997</v>
      </c>
      <c r="AU106" s="1">
        <v>-65.5</v>
      </c>
      <c r="AV106" s="4">
        <f>AT106-AU106</f>
        <v>-2.5439999999999969</v>
      </c>
      <c r="AW106" s="9">
        <v>38975</v>
      </c>
      <c r="AX106" s="4">
        <v>-0.14393581463806801</v>
      </c>
      <c r="AY106" s="6">
        <v>0.2</v>
      </c>
      <c r="AZ106" s="4">
        <f>AX106-AY106</f>
        <v>-0.34393581463806799</v>
      </c>
    </row>
    <row r="107" spans="1:52" s="1" customFormat="1" x14ac:dyDescent="0.2">
      <c r="A107" s="2">
        <v>38996</v>
      </c>
      <c r="B107" s="1">
        <v>51</v>
      </c>
      <c r="C107" s="1">
        <v>125</v>
      </c>
      <c r="D107" s="1">
        <f>B107-C107</f>
        <v>-74</v>
      </c>
      <c r="E107" s="2">
        <v>38996</v>
      </c>
      <c r="F107" s="1">
        <v>4.5999999999999996</v>
      </c>
      <c r="G107" s="1">
        <v>4.7</v>
      </c>
      <c r="H107" s="1">
        <f>F107-G107</f>
        <v>-0.10000000000000053</v>
      </c>
      <c r="I107" s="2">
        <v>39008</v>
      </c>
      <c r="J107" s="1">
        <v>0.24166263895601739</v>
      </c>
      <c r="K107" s="1">
        <v>0.2</v>
      </c>
      <c r="L107" s="4">
        <f>J107-K107</f>
        <v>4.1662638956017378E-2</v>
      </c>
      <c r="M107" s="2">
        <v>45407</v>
      </c>
      <c r="N107" s="4">
        <v>1.5898848740383054</v>
      </c>
      <c r="O107" s="1">
        <v>2.4</v>
      </c>
      <c r="P107" s="4">
        <f>N107-O107</f>
        <v>-0.81011512596169455</v>
      </c>
      <c r="Q107" s="2">
        <v>40249</v>
      </c>
      <c r="R107" s="4">
        <v>0.34063425138073899</v>
      </c>
      <c r="S107" s="1">
        <v>-0.2</v>
      </c>
      <c r="T107" s="4">
        <f>R107-S107</f>
        <v>0.54063425138073895</v>
      </c>
      <c r="U107" s="2">
        <v>39022</v>
      </c>
      <c r="V107" s="1" t="s">
        <v>52</v>
      </c>
      <c r="W107" s="1" t="s">
        <v>52</v>
      </c>
      <c r="X107" s="1">
        <v>-1.9</v>
      </c>
      <c r="Y107" s="2">
        <v>39596</v>
      </c>
      <c r="Z107" s="5">
        <v>-0.48038540000000002</v>
      </c>
      <c r="AA107" s="1">
        <v>-1.1000000000000001</v>
      </c>
      <c r="AB107" s="1">
        <f>Z107-AA107</f>
        <v>0.61961460000000002</v>
      </c>
      <c r="AC107" s="2">
        <v>39562</v>
      </c>
      <c r="AD107" s="5">
        <v>0.52600000000000002</v>
      </c>
      <c r="AE107" s="6">
        <v>0.57999999999999996</v>
      </c>
      <c r="AF107" s="7">
        <f>AD107-AE107</f>
        <v>-5.3999999999999937E-2</v>
      </c>
      <c r="AG107" s="8">
        <v>39021</v>
      </c>
      <c r="AH107" s="6">
        <v>105.1</v>
      </c>
      <c r="AI107" s="1">
        <v>108</v>
      </c>
      <c r="AJ107" s="1">
        <f>AH107-AI107</f>
        <v>-2.9000000000000057</v>
      </c>
      <c r="AK107" s="2">
        <v>39996</v>
      </c>
      <c r="AL107" s="1">
        <v>-5.3937432578199385E-2</v>
      </c>
      <c r="AM107" s="1">
        <v>0.1</v>
      </c>
      <c r="AN107" s="4">
        <f>AL107-AM107</f>
        <v>-0.15393743257819939</v>
      </c>
      <c r="AO107" s="2">
        <v>39008</v>
      </c>
      <c r="AP107" s="5">
        <v>-0.49091800000000002</v>
      </c>
      <c r="AQ107" s="1">
        <v>0.2</v>
      </c>
      <c r="AR107" s="4">
        <f>AP107-AQ107</f>
        <v>-0.69091800000000003</v>
      </c>
      <c r="AS107" s="2">
        <v>39002</v>
      </c>
      <c r="AT107" s="5">
        <v>-69.856999999999999</v>
      </c>
      <c r="AU107" s="1">
        <v>-66</v>
      </c>
      <c r="AV107" s="4">
        <f>AT107-AU107</f>
        <v>-3.8569999999999993</v>
      </c>
      <c r="AW107" s="9">
        <v>39007</v>
      </c>
      <c r="AX107" s="4">
        <v>-0.59694411007529902</v>
      </c>
      <c r="AY107" s="6">
        <v>-0.2</v>
      </c>
      <c r="AZ107" s="4">
        <f>AX107-AY107</f>
        <v>-0.39694411007529901</v>
      </c>
    </row>
    <row r="108" spans="1:52" s="1" customFormat="1" x14ac:dyDescent="0.2">
      <c r="A108" s="2">
        <v>39024</v>
      </c>
      <c r="B108" s="1">
        <v>92</v>
      </c>
      <c r="C108" s="1">
        <v>133</v>
      </c>
      <c r="D108" s="1">
        <f>B108-C108</f>
        <v>-41</v>
      </c>
      <c r="E108" s="2">
        <v>39024</v>
      </c>
      <c r="F108" s="1">
        <v>4.4000000000000004</v>
      </c>
      <c r="G108" s="1">
        <v>4.5999999999999996</v>
      </c>
      <c r="H108" s="1">
        <f>F108-G108</f>
        <v>-0.19999999999999929</v>
      </c>
      <c r="I108" s="2">
        <v>39037</v>
      </c>
      <c r="J108" s="1">
        <v>9.6432015429116988E-2</v>
      </c>
      <c r="K108" s="1">
        <v>0.2</v>
      </c>
      <c r="L108" s="4">
        <f>J108-K108</f>
        <v>-0.10356798457088302</v>
      </c>
      <c r="M108" s="2">
        <v>45498</v>
      </c>
      <c r="N108" s="4">
        <v>2.84166563657684</v>
      </c>
      <c r="O108" s="1">
        <v>2</v>
      </c>
      <c r="P108" s="4">
        <f>N108-O108</f>
        <v>0.84166563657684001</v>
      </c>
      <c r="Q108" s="2">
        <v>40282</v>
      </c>
      <c r="R108" s="4">
        <v>1.6023901573855901</v>
      </c>
      <c r="S108" s="1">
        <v>1.2</v>
      </c>
      <c r="T108" s="4">
        <f>R108-S108</f>
        <v>0.40239015738559014</v>
      </c>
      <c r="U108" s="2">
        <v>39052</v>
      </c>
      <c r="V108" s="1" t="s">
        <v>52</v>
      </c>
      <c r="W108" s="1" t="s">
        <v>52</v>
      </c>
      <c r="X108" s="1">
        <v>-2.6</v>
      </c>
      <c r="Y108" s="2">
        <v>39624</v>
      </c>
      <c r="Z108" s="5">
        <v>3.4649869999999999E-2</v>
      </c>
      <c r="AA108" s="1">
        <v>0</v>
      </c>
      <c r="AB108" s="1">
        <f>Z108-AA108</f>
        <v>3.4649869999999999E-2</v>
      </c>
      <c r="AC108" s="2">
        <v>39595</v>
      </c>
      <c r="AD108" s="5">
        <v>0.52600000000000002</v>
      </c>
      <c r="AE108" s="6">
        <v>0.52200000000000002</v>
      </c>
      <c r="AF108" s="7">
        <f>AD108-AE108</f>
        <v>4.0000000000000036E-3</v>
      </c>
      <c r="AG108" s="8">
        <v>39049</v>
      </c>
      <c r="AH108" s="6">
        <v>105.3</v>
      </c>
      <c r="AI108" s="1">
        <v>105.8</v>
      </c>
      <c r="AJ108" s="1">
        <f>AH108-AI108</f>
        <v>-0.5</v>
      </c>
      <c r="AK108" s="2">
        <v>40032</v>
      </c>
      <c r="AL108" s="1">
        <v>0.16189962223420729</v>
      </c>
      <c r="AM108" s="1">
        <v>0.1</v>
      </c>
      <c r="AN108" s="4">
        <f>AL108-AM108</f>
        <v>6.189962223420728E-2</v>
      </c>
      <c r="AO108" s="2">
        <v>39037</v>
      </c>
      <c r="AP108" s="5">
        <v>-0.4933399</v>
      </c>
      <c r="AQ108" s="1">
        <v>-0.3</v>
      </c>
      <c r="AR108" s="4">
        <f>AP108-AQ108</f>
        <v>-0.19333990000000001</v>
      </c>
      <c r="AS108" s="2">
        <v>39030</v>
      </c>
      <c r="AT108" s="5">
        <v>-64.3</v>
      </c>
      <c r="AU108" s="1">
        <v>-66.099999999999994</v>
      </c>
      <c r="AV108" s="4">
        <f>AT108-AU108</f>
        <v>1.7999999999999972</v>
      </c>
      <c r="AW108" s="9">
        <v>39037</v>
      </c>
      <c r="AX108" s="4">
        <v>0.23722909363494499</v>
      </c>
      <c r="AY108" s="6">
        <v>0.2</v>
      </c>
      <c r="AZ108" s="4">
        <f>AX108-AY108</f>
        <v>3.7229093634944976E-2</v>
      </c>
    </row>
    <row r="109" spans="1:52" s="1" customFormat="1" x14ac:dyDescent="0.2">
      <c r="A109" s="2">
        <v>39059</v>
      </c>
      <c r="B109" s="1">
        <v>132</v>
      </c>
      <c r="C109" s="1">
        <v>110</v>
      </c>
      <c r="D109" s="1">
        <f>B109-C109</f>
        <v>22</v>
      </c>
      <c r="E109" s="2">
        <v>39059</v>
      </c>
      <c r="F109" s="1">
        <v>4.5</v>
      </c>
      <c r="G109" s="1">
        <v>4.5</v>
      </c>
      <c r="H109" s="1">
        <f>F109-G109</f>
        <v>0</v>
      </c>
      <c r="I109" s="2">
        <v>39066</v>
      </c>
      <c r="J109" s="1">
        <v>4.8169556840074332E-2</v>
      </c>
      <c r="K109" s="1">
        <v>0.2</v>
      </c>
      <c r="L109" s="4">
        <f>J109-K109</f>
        <v>-0.15183044315992567</v>
      </c>
      <c r="M109" s="2">
        <v>45595</v>
      </c>
      <c r="N109" s="4">
        <v>2.825574212574633</v>
      </c>
      <c r="O109" s="1">
        <v>3</v>
      </c>
      <c r="P109" s="4">
        <f>N109-O109</f>
        <v>-0.17442578742536696</v>
      </c>
      <c r="Q109" s="2">
        <v>40312</v>
      </c>
      <c r="R109" s="4">
        <v>0.42482746523266801</v>
      </c>
      <c r="S109" s="1">
        <v>0.2</v>
      </c>
      <c r="T109" s="4">
        <f>R109-S109</f>
        <v>0.224827465232668</v>
      </c>
      <c r="U109" s="2">
        <v>39084</v>
      </c>
      <c r="V109" s="1" t="s">
        <v>52</v>
      </c>
      <c r="W109" s="1" t="s">
        <v>52</v>
      </c>
      <c r="X109" s="1">
        <v>1.4</v>
      </c>
      <c r="Y109" s="2">
        <v>39654</v>
      </c>
      <c r="Z109" s="5">
        <v>0.76616883000000002</v>
      </c>
      <c r="AA109" s="1">
        <v>-0.4</v>
      </c>
      <c r="AB109" s="1">
        <f>Z109-AA109</f>
        <v>1.1661688300000002</v>
      </c>
      <c r="AC109" s="2">
        <v>39624</v>
      </c>
      <c r="AD109" s="5">
        <v>0.51200000000000001</v>
      </c>
      <c r="AE109" s="6">
        <v>0.51500000000000001</v>
      </c>
      <c r="AF109" s="7">
        <f>AD109-AE109</f>
        <v>-3.0000000000000027E-3</v>
      </c>
      <c r="AG109" s="8">
        <v>39079</v>
      </c>
      <c r="AH109" s="6">
        <v>110</v>
      </c>
      <c r="AI109" s="1">
        <v>102.5</v>
      </c>
      <c r="AJ109" s="1">
        <f>AH109-AI109</f>
        <v>7.5</v>
      </c>
      <c r="AK109" s="2">
        <v>40060</v>
      </c>
      <c r="AL109" s="1">
        <v>0.48491379310344751</v>
      </c>
      <c r="AM109" s="1">
        <v>0.1</v>
      </c>
      <c r="AN109" s="4">
        <f>AL109-AM109</f>
        <v>0.38491379310344753</v>
      </c>
      <c r="AO109" s="2">
        <v>39066</v>
      </c>
      <c r="AP109" s="5">
        <v>0</v>
      </c>
      <c r="AQ109" s="1">
        <v>0.2</v>
      </c>
      <c r="AR109" s="4">
        <f>AP109-AQ109</f>
        <v>-0.2</v>
      </c>
      <c r="AS109" s="2">
        <v>39063</v>
      </c>
      <c r="AT109" s="5">
        <v>-58.868000000000002</v>
      </c>
      <c r="AU109" s="1">
        <v>-63.6</v>
      </c>
      <c r="AV109" s="4">
        <f>AT109-AU109</f>
        <v>4.7319999999999993</v>
      </c>
      <c r="AW109" s="9">
        <v>39066</v>
      </c>
      <c r="AX109" s="4">
        <v>0.17792927779442599</v>
      </c>
      <c r="AY109" s="6">
        <v>0</v>
      </c>
      <c r="AZ109" s="4">
        <f>AX109-AY109</f>
        <v>0.17792927779442599</v>
      </c>
    </row>
    <row r="110" spans="1:52" s="1" customFormat="1" x14ac:dyDescent="0.2">
      <c r="A110" s="2">
        <v>39087</v>
      </c>
      <c r="B110" s="1">
        <v>167</v>
      </c>
      <c r="C110" s="1">
        <v>113</v>
      </c>
      <c r="D110" s="1">
        <f>B110-C110</f>
        <v>54</v>
      </c>
      <c r="E110" s="2">
        <v>39087</v>
      </c>
      <c r="F110" s="1">
        <v>4.5</v>
      </c>
      <c r="G110" s="1">
        <v>4.5</v>
      </c>
      <c r="H110" s="1">
        <f>F110-G110</f>
        <v>0</v>
      </c>
      <c r="I110" s="2">
        <v>39100</v>
      </c>
      <c r="J110" s="1">
        <v>0.19258545979778802</v>
      </c>
      <c r="K110" s="1">
        <v>0.2</v>
      </c>
      <c r="L110" s="4">
        <f>J110-K110</f>
        <v>-7.4145402022119944E-3</v>
      </c>
      <c r="M110" s="2">
        <v>45687</v>
      </c>
      <c r="N110" s="4">
        <v>2.2514703272509484</v>
      </c>
      <c r="O110" s="1">
        <v>2.6</v>
      </c>
      <c r="P110" s="4">
        <f>N110-O110</f>
        <v>-0.34852967274905167</v>
      </c>
      <c r="Q110" s="2">
        <v>40340</v>
      </c>
      <c r="R110" s="4">
        <v>-1.1986427374187401</v>
      </c>
      <c r="S110" s="1">
        <v>0.2</v>
      </c>
      <c r="T110" s="4">
        <f>R110-S110</f>
        <v>-1.39864273741874</v>
      </c>
      <c r="U110" s="2">
        <v>39114</v>
      </c>
      <c r="V110" s="1" t="s">
        <v>52</v>
      </c>
      <c r="W110" s="1" t="s">
        <v>52</v>
      </c>
      <c r="X110" s="1">
        <v>-2.7</v>
      </c>
      <c r="Y110" s="2">
        <v>39687</v>
      </c>
      <c r="Z110" s="5">
        <v>1.34083945</v>
      </c>
      <c r="AA110" s="1">
        <v>0.1</v>
      </c>
      <c r="AB110" s="1">
        <f>Z110-AA110</f>
        <v>1.24083945</v>
      </c>
      <c r="AC110" s="2">
        <v>39654</v>
      </c>
      <c r="AD110" s="5">
        <v>0.53</v>
      </c>
      <c r="AE110" s="6">
        <v>0.505</v>
      </c>
      <c r="AF110" s="7">
        <f>AD110-AE110</f>
        <v>2.5000000000000022E-2</v>
      </c>
      <c r="AG110" s="8">
        <v>39112</v>
      </c>
      <c r="AH110" s="6">
        <v>110.2</v>
      </c>
      <c r="AI110" s="1">
        <v>111</v>
      </c>
      <c r="AJ110" s="1">
        <f>AH110-AI110</f>
        <v>-0.79999999999999716</v>
      </c>
      <c r="AK110" s="2">
        <v>40088</v>
      </c>
      <c r="AL110" s="1">
        <v>0.10723860589814116</v>
      </c>
      <c r="AM110" s="1">
        <v>0.2</v>
      </c>
      <c r="AN110" s="4">
        <f>AL110-AM110</f>
        <v>-9.2761394101858852E-2</v>
      </c>
      <c r="AO110" s="2">
        <v>39100</v>
      </c>
      <c r="AP110" s="5">
        <v>0.54536439999999997</v>
      </c>
      <c r="AQ110" s="1">
        <v>0.4</v>
      </c>
      <c r="AR110" s="4">
        <f>AP110-AQ110</f>
        <v>0.14536439999999995</v>
      </c>
      <c r="AS110" s="2">
        <v>39092</v>
      </c>
      <c r="AT110" s="5">
        <v>-58.232999999999997</v>
      </c>
      <c r="AU110" s="1">
        <v>-60</v>
      </c>
      <c r="AV110" s="4">
        <f>AT110-AU110</f>
        <v>1.767000000000003</v>
      </c>
      <c r="AW110" s="9">
        <v>39099</v>
      </c>
      <c r="AX110" s="4">
        <v>0.38056995327461302</v>
      </c>
      <c r="AY110" s="6">
        <v>0.1</v>
      </c>
      <c r="AZ110" s="4">
        <f>AX110-AY110</f>
        <v>0.28056995327461298</v>
      </c>
    </row>
    <row r="111" spans="1:52" s="1" customFormat="1" x14ac:dyDescent="0.2">
      <c r="A111" s="2">
        <v>39115</v>
      </c>
      <c r="B111" s="1">
        <v>111</v>
      </c>
      <c r="C111" s="1">
        <v>150</v>
      </c>
      <c r="D111" s="1">
        <f>B111-C111</f>
        <v>-39</v>
      </c>
      <c r="E111" s="2">
        <v>39115</v>
      </c>
      <c r="F111" s="1">
        <v>4.5999999999999996</v>
      </c>
      <c r="G111" s="1">
        <v>4.5</v>
      </c>
      <c r="H111" s="1">
        <f>F111-G111</f>
        <v>9.9999999999999645E-2</v>
      </c>
      <c r="I111" s="2">
        <v>39134</v>
      </c>
      <c r="J111" s="1">
        <v>0.25564632388275382</v>
      </c>
      <c r="K111" s="1">
        <v>0.2</v>
      </c>
      <c r="L111" s="4">
        <f>J111-K111</f>
        <v>5.5646323882753812E-2</v>
      </c>
      <c r="M111" s="2">
        <v>45777</v>
      </c>
      <c r="N111" s="4">
        <v>-0.27604983724315302</v>
      </c>
      <c r="O111" s="1">
        <v>0.3</v>
      </c>
      <c r="P111" s="4">
        <f>N111-O111</f>
        <v>-0.57604983724315306</v>
      </c>
      <c r="Q111" s="2">
        <v>40373</v>
      </c>
      <c r="R111" s="4">
        <v>-0.51296500401919198</v>
      </c>
      <c r="S111" s="1">
        <v>-0.2</v>
      </c>
      <c r="T111" s="4">
        <f>R111-S111</f>
        <v>-0.31296500401919197</v>
      </c>
      <c r="U111" s="2">
        <v>39142</v>
      </c>
      <c r="V111" s="1" t="s">
        <v>52</v>
      </c>
      <c r="W111" s="1" t="s">
        <v>52</v>
      </c>
      <c r="X111" s="1">
        <v>2.2999999999999998</v>
      </c>
      <c r="Y111" s="2">
        <v>39716</v>
      </c>
      <c r="Z111" s="5">
        <v>-4.5197687999999996</v>
      </c>
      <c r="AA111" s="1">
        <v>-1.6</v>
      </c>
      <c r="AB111" s="1">
        <f>Z111-AA111</f>
        <v>-2.9197687999999995</v>
      </c>
      <c r="AC111" s="2">
        <v>39686</v>
      </c>
      <c r="AD111" s="5">
        <v>0.51500000000000001</v>
      </c>
      <c r="AE111" s="6">
        <v>0.52500000000000002</v>
      </c>
      <c r="AF111" s="7">
        <f>AD111-AE111</f>
        <v>-1.0000000000000009E-2</v>
      </c>
      <c r="AG111" s="8">
        <v>39140</v>
      </c>
      <c r="AH111" s="6">
        <v>111.2</v>
      </c>
      <c r="AI111" s="1">
        <v>108.5</v>
      </c>
      <c r="AJ111" s="1">
        <f>AH111-AI111</f>
        <v>2.7000000000000028</v>
      </c>
      <c r="AK111" s="2">
        <v>40123</v>
      </c>
      <c r="AL111" s="1">
        <v>0.26780931976431166</v>
      </c>
      <c r="AM111" s="1">
        <v>0.1</v>
      </c>
      <c r="AN111" s="4">
        <f>AL111-AM111</f>
        <v>0.16780931976431165</v>
      </c>
      <c r="AO111" s="2">
        <v>39134</v>
      </c>
      <c r="AP111" s="5">
        <v>0.17406311999999999</v>
      </c>
      <c r="AQ111" s="1">
        <v>0</v>
      </c>
      <c r="AR111" s="4">
        <f>AP111-AQ111</f>
        <v>0.17406311999999999</v>
      </c>
      <c r="AS111" s="2">
        <v>39126</v>
      </c>
      <c r="AT111" s="5">
        <v>-61.183</v>
      </c>
      <c r="AU111" s="1">
        <v>-59.5</v>
      </c>
      <c r="AV111" s="4">
        <f>AT111-AU111</f>
        <v>-1.6829999999999998</v>
      </c>
      <c r="AW111" s="9">
        <v>39128</v>
      </c>
      <c r="AX111" s="4">
        <v>-0.48624095466462602</v>
      </c>
      <c r="AY111" s="6">
        <v>0</v>
      </c>
      <c r="AZ111" s="4">
        <f>AX111-AY111</f>
        <v>-0.48624095466462602</v>
      </c>
    </row>
    <row r="112" spans="1:52" s="1" customFormat="1" x14ac:dyDescent="0.2">
      <c r="A112" s="2">
        <v>39150</v>
      </c>
      <c r="B112" s="1">
        <v>97</v>
      </c>
      <c r="C112" s="1">
        <v>100</v>
      </c>
      <c r="D112" s="1">
        <f>B112-C112</f>
        <v>-3</v>
      </c>
      <c r="E112" s="2">
        <v>39150</v>
      </c>
      <c r="F112" s="1">
        <v>4.5</v>
      </c>
      <c r="G112" s="1">
        <v>4.5999999999999996</v>
      </c>
      <c r="H112" s="1">
        <f>F112-G112</f>
        <v>-9.9999999999999645E-2</v>
      </c>
      <c r="I112" s="2">
        <v>39157</v>
      </c>
      <c r="J112" s="1">
        <v>0.24109436711529675</v>
      </c>
      <c r="K112" s="1">
        <v>0.2</v>
      </c>
      <c r="L112" s="4">
        <f>J112-K112</f>
        <v>4.1094367115296737E-2</v>
      </c>
      <c r="M112" s="2">
        <v>45868</v>
      </c>
      <c r="N112" s="4">
        <v>2.9682518058413487</v>
      </c>
      <c r="O112" s="1">
        <v>2.4</v>
      </c>
      <c r="P112" s="4">
        <f>N112-O112</f>
        <v>0.56825180584134882</v>
      </c>
      <c r="Q112" s="2">
        <v>40403</v>
      </c>
      <c r="R112" s="4">
        <v>0.410848163364746</v>
      </c>
      <c r="S112" s="1">
        <v>0.5</v>
      </c>
      <c r="T112" s="4">
        <f>R112-S112</f>
        <v>-8.9151836635254E-2</v>
      </c>
      <c r="U112" s="2">
        <v>39174</v>
      </c>
      <c r="V112" s="1" t="s">
        <v>52</v>
      </c>
      <c r="W112" s="1" t="s">
        <v>52</v>
      </c>
      <c r="X112" s="1">
        <v>-1.1000000000000001</v>
      </c>
      <c r="Y112" s="2">
        <v>39750</v>
      </c>
      <c r="Z112" s="5">
        <v>0.77638923000000004</v>
      </c>
      <c r="AA112" s="1">
        <v>-1.2</v>
      </c>
      <c r="AB112" s="1">
        <f>Z112-AA112</f>
        <v>1.9763892300000001</v>
      </c>
      <c r="AC112" s="2">
        <v>39716</v>
      </c>
      <c r="AD112" s="5">
        <v>0.46</v>
      </c>
      <c r="AE112" s="6">
        <v>0.51</v>
      </c>
      <c r="AF112" s="7">
        <f>AD112-AE112</f>
        <v>-4.9999999999999989E-2</v>
      </c>
      <c r="AG112" s="8">
        <v>39168</v>
      </c>
      <c r="AH112" s="6">
        <v>108.2</v>
      </c>
      <c r="AI112" s="1">
        <v>108.5</v>
      </c>
      <c r="AJ112" s="1">
        <f>AH112-AI112</f>
        <v>-0.29999999999999716</v>
      </c>
      <c r="AK112" s="2">
        <v>40151</v>
      </c>
      <c r="AL112" s="1">
        <v>0.10683760683760646</v>
      </c>
      <c r="AM112" s="1">
        <v>0.2</v>
      </c>
      <c r="AN112" s="4">
        <f>AL112-AM112</f>
        <v>-9.3162393162393553E-2</v>
      </c>
      <c r="AO112" s="2">
        <v>39157</v>
      </c>
      <c r="AP112" s="5">
        <v>0.3706566</v>
      </c>
      <c r="AQ112" s="1">
        <v>0.3</v>
      </c>
      <c r="AR112" s="4">
        <f>AP112-AQ112</f>
        <v>7.0656600000000014E-2</v>
      </c>
      <c r="AS112" s="2">
        <v>39150</v>
      </c>
      <c r="AT112" s="5">
        <v>-59.118000000000002</v>
      </c>
      <c r="AU112" s="1">
        <v>-59.7</v>
      </c>
      <c r="AV112" s="4">
        <f>AT112-AU112</f>
        <v>0.58200000000000074</v>
      </c>
      <c r="AW112" s="9">
        <v>39157</v>
      </c>
      <c r="AX112" s="4">
        <v>0.95833560127527995</v>
      </c>
      <c r="AY112" s="6">
        <v>0.3</v>
      </c>
      <c r="AZ112" s="4">
        <f>AX112-AY112</f>
        <v>0.6583356012752799</v>
      </c>
    </row>
    <row r="113" spans="1:52" s="1" customFormat="1" x14ac:dyDescent="0.2">
      <c r="A113" s="2">
        <v>39178</v>
      </c>
      <c r="B113" s="1">
        <v>180</v>
      </c>
      <c r="C113" s="1">
        <v>165</v>
      </c>
      <c r="D113" s="1">
        <f>B113-C113</f>
        <v>15</v>
      </c>
      <c r="E113" s="2">
        <v>39178</v>
      </c>
      <c r="F113" s="1">
        <v>4.4000000000000004</v>
      </c>
      <c r="G113" s="1">
        <v>4.5</v>
      </c>
      <c r="H113" s="1">
        <f>F113-G113</f>
        <v>-9.9999999999999645E-2</v>
      </c>
      <c r="I113" s="2">
        <v>39189</v>
      </c>
      <c r="J113" s="1">
        <v>6.1204485141183609E-2</v>
      </c>
      <c r="K113" s="1">
        <v>0.2</v>
      </c>
      <c r="L113" s="4">
        <f>J113-K113</f>
        <v>-0.13879551485881642</v>
      </c>
      <c r="M113" s="2">
        <v>46014</v>
      </c>
      <c r="N113" s="4">
        <v>4.3427844384924752</v>
      </c>
      <c r="O113" s="1">
        <v>3.3</v>
      </c>
      <c r="P113" s="4">
        <f>N113-O113</f>
        <v>1.0427844384924754</v>
      </c>
      <c r="Q113" s="2">
        <v>40435</v>
      </c>
      <c r="R113" s="4">
        <v>0.41828989836797897</v>
      </c>
      <c r="S113" s="1">
        <v>0.3</v>
      </c>
      <c r="T113" s="4">
        <f>R113-S113</f>
        <v>0.11828989836797899</v>
      </c>
      <c r="U113" s="2">
        <v>39203</v>
      </c>
      <c r="V113" s="1" t="s">
        <v>52</v>
      </c>
      <c r="W113" s="1" t="s">
        <v>52</v>
      </c>
      <c r="X113" s="1">
        <v>3.6</v>
      </c>
      <c r="Y113" s="2">
        <v>39778</v>
      </c>
      <c r="Z113" s="5">
        <v>-6.1542500999999996</v>
      </c>
      <c r="AA113" s="1">
        <v>-3</v>
      </c>
      <c r="AB113" s="1">
        <f>Z113-AA113</f>
        <v>-3.1542500999999996</v>
      </c>
      <c r="AC113" s="2">
        <v>39748</v>
      </c>
      <c r="AD113" s="5">
        <v>0.46400000000000002</v>
      </c>
      <c r="AE113" s="6">
        <v>0.45</v>
      </c>
      <c r="AF113" s="7">
        <f>AD113-AE113</f>
        <v>1.4000000000000012E-2</v>
      </c>
      <c r="AG113" s="8">
        <v>39196</v>
      </c>
      <c r="AH113" s="6">
        <v>106.3</v>
      </c>
      <c r="AI113" s="1">
        <v>105</v>
      </c>
      <c r="AJ113" s="1">
        <f>AH113-AI113</f>
        <v>1.2999999999999972</v>
      </c>
      <c r="AK113" s="2">
        <v>40186</v>
      </c>
      <c r="AL113" s="1">
        <v>0.32017075773747017</v>
      </c>
      <c r="AM113" s="1">
        <v>0.2</v>
      </c>
      <c r="AN113" s="4">
        <f>AL113-AM113</f>
        <v>0.12017075773747016</v>
      </c>
      <c r="AO113" s="2">
        <v>39189</v>
      </c>
      <c r="AP113" s="5">
        <v>0.60812334999999995</v>
      </c>
      <c r="AQ113" s="1">
        <v>0.7</v>
      </c>
      <c r="AR113" s="4">
        <f>AP113-AQ113</f>
        <v>-9.1876650000000004E-2</v>
      </c>
      <c r="AS113" s="2">
        <v>39185</v>
      </c>
      <c r="AT113" s="5">
        <v>-58.436</v>
      </c>
      <c r="AU113" s="1">
        <v>-60</v>
      </c>
      <c r="AV113" s="4">
        <f>AT113-AU113</f>
        <v>1.5640000000000001</v>
      </c>
      <c r="AW113" s="9">
        <v>39189</v>
      </c>
      <c r="AX113" s="4">
        <v>-0.15834553765589099</v>
      </c>
      <c r="AY113" s="6">
        <v>0.1</v>
      </c>
      <c r="AZ113" s="4">
        <f>AX113-AY113</f>
        <v>-0.25834553765589097</v>
      </c>
    </row>
    <row r="114" spans="1:52" s="1" customFormat="1" x14ac:dyDescent="0.2">
      <c r="A114" s="2">
        <v>39206</v>
      </c>
      <c r="B114" s="1">
        <v>88</v>
      </c>
      <c r="C114" s="1">
        <v>115</v>
      </c>
      <c r="D114" s="1">
        <f>B114-C114</f>
        <v>-27</v>
      </c>
      <c r="E114" s="2">
        <v>39206</v>
      </c>
      <c r="F114" s="1">
        <v>4.5</v>
      </c>
      <c r="G114" s="1">
        <v>4.5</v>
      </c>
      <c r="H114" s="1">
        <f>F114-G114</f>
        <v>0</v>
      </c>
      <c r="I114" s="2">
        <v>39217</v>
      </c>
      <c r="J114" s="1">
        <v>0.17728886616362227</v>
      </c>
      <c r="K114" s="1">
        <v>0.2</v>
      </c>
      <c r="L114" s="4">
        <f>J114-K114</f>
        <v>-2.2711133836377739E-2</v>
      </c>
      <c r="P114" s="4"/>
      <c r="Q114" s="2">
        <v>40466</v>
      </c>
      <c r="R114" s="4">
        <v>0.62041088879948902</v>
      </c>
      <c r="S114" s="1">
        <v>0.4</v>
      </c>
      <c r="T114" s="4">
        <f>R114-S114</f>
        <v>0.220410888799489</v>
      </c>
      <c r="U114" s="2">
        <v>39234</v>
      </c>
      <c r="V114" s="1" t="s">
        <v>52</v>
      </c>
      <c r="W114" s="1" t="s">
        <v>52</v>
      </c>
      <c r="X114" s="1">
        <v>1</v>
      </c>
      <c r="Y114" s="2">
        <v>39806</v>
      </c>
      <c r="Z114" s="5">
        <v>-0.97339969999999998</v>
      </c>
      <c r="AA114" s="1">
        <v>-3</v>
      </c>
      <c r="AB114" s="1">
        <f>Z114-AA114</f>
        <v>2.0266003000000001</v>
      </c>
      <c r="AC114" s="2">
        <v>39778</v>
      </c>
      <c r="AD114" s="5">
        <v>0.433</v>
      </c>
      <c r="AE114" s="6">
        <v>0.45</v>
      </c>
      <c r="AF114" s="7">
        <f>AD114-AE114</f>
        <v>-1.7000000000000015E-2</v>
      </c>
      <c r="AG114" s="8">
        <v>39231</v>
      </c>
      <c r="AH114" s="6">
        <v>108.5</v>
      </c>
      <c r="AI114" s="1">
        <v>104.8</v>
      </c>
      <c r="AJ114" s="1">
        <f>AH114-AI114</f>
        <v>3.7000000000000028</v>
      </c>
      <c r="AK114" s="2">
        <v>40214</v>
      </c>
      <c r="AL114" s="1">
        <v>0.47872340425532123</v>
      </c>
      <c r="AM114" s="1">
        <v>0.2</v>
      </c>
      <c r="AN114" s="4">
        <f>AL114-AM114</f>
        <v>0.27872340425532122</v>
      </c>
      <c r="AO114" s="2">
        <v>39217</v>
      </c>
      <c r="AP114" s="5">
        <v>0.41580143000000003</v>
      </c>
      <c r="AQ114" s="1">
        <v>0.5</v>
      </c>
      <c r="AR114" s="4">
        <f>AP114-AQ114</f>
        <v>-8.4198569999999973E-2</v>
      </c>
      <c r="AS114" s="2">
        <v>39212</v>
      </c>
      <c r="AT114" s="5">
        <v>-63.890999999999998</v>
      </c>
      <c r="AU114" s="1">
        <v>-59.8</v>
      </c>
      <c r="AV114" s="4">
        <f>AT114-AU114</f>
        <v>-4.0910000000000011</v>
      </c>
      <c r="AW114" s="9">
        <v>39218</v>
      </c>
      <c r="AX114" s="4">
        <v>0.71288367281659903</v>
      </c>
      <c r="AY114" s="6">
        <v>0.2</v>
      </c>
      <c r="AZ114" s="4">
        <f>AX114-AY114</f>
        <v>0.51288367281659908</v>
      </c>
    </row>
    <row r="115" spans="1:52" s="1" customFormat="1" x14ac:dyDescent="0.2">
      <c r="A115" s="2">
        <v>39234</v>
      </c>
      <c r="B115" s="1">
        <v>157</v>
      </c>
      <c r="C115" s="1">
        <v>138</v>
      </c>
      <c r="D115" s="1">
        <f>B115-C115</f>
        <v>19</v>
      </c>
      <c r="E115" s="2">
        <v>39234</v>
      </c>
      <c r="F115" s="1">
        <v>4.5</v>
      </c>
      <c r="G115" s="1">
        <v>4.5</v>
      </c>
      <c r="H115" s="1">
        <f>F115-G115</f>
        <v>0</v>
      </c>
      <c r="I115" s="2">
        <v>39248</v>
      </c>
      <c r="J115" s="1">
        <v>0.14978486314243938</v>
      </c>
      <c r="K115" s="1">
        <v>0.2</v>
      </c>
      <c r="L115" s="4">
        <f>J115-K115</f>
        <v>-5.0215136857560627E-2</v>
      </c>
      <c r="O115" s="3"/>
      <c r="P115" s="4"/>
      <c r="Q115" s="2">
        <v>40497</v>
      </c>
      <c r="R115" s="4">
        <v>1.2282405799617899</v>
      </c>
      <c r="S115" s="1">
        <v>0.7</v>
      </c>
      <c r="T115" s="4">
        <f>R115-S115</f>
        <v>0.52824057996178997</v>
      </c>
      <c r="U115" s="2">
        <v>39265</v>
      </c>
      <c r="V115" s="1" t="s">
        <v>52</v>
      </c>
      <c r="W115" s="1" t="s">
        <v>52</v>
      </c>
      <c r="X115" s="1">
        <v>0.6</v>
      </c>
      <c r="Y115" s="2">
        <v>39842</v>
      </c>
      <c r="Z115" s="5">
        <v>-2.5960144999999999</v>
      </c>
      <c r="AA115" s="1">
        <v>-2</v>
      </c>
      <c r="AB115" s="1">
        <f>Z115-AA115</f>
        <v>-0.59601449999999989</v>
      </c>
      <c r="AC115" s="2">
        <v>39805</v>
      </c>
      <c r="AD115" s="5">
        <v>0.40699999999999997</v>
      </c>
      <c r="AE115" s="6">
        <v>0.42</v>
      </c>
      <c r="AF115" s="7">
        <f>AD115-AE115</f>
        <v>-1.3000000000000012E-2</v>
      </c>
      <c r="AG115" s="8">
        <v>39259</v>
      </c>
      <c r="AH115" s="6">
        <v>105.3</v>
      </c>
      <c r="AI115" s="1">
        <v>105.3</v>
      </c>
      <c r="AJ115" s="1">
        <f>AH115-AI115</f>
        <v>0</v>
      </c>
      <c r="AK115" s="2">
        <v>40242</v>
      </c>
      <c r="AL115" s="1">
        <v>0.21175224986764718</v>
      </c>
      <c r="AM115" s="1">
        <v>0.2</v>
      </c>
      <c r="AN115" s="4">
        <f>AL115-AM115</f>
        <v>1.1752249867647169E-2</v>
      </c>
      <c r="AO115" s="2">
        <v>39248</v>
      </c>
      <c r="AP115" s="5">
        <v>0.67378967999999995</v>
      </c>
      <c r="AQ115" s="1">
        <v>0.6</v>
      </c>
      <c r="AR115" s="4">
        <f>AP115-AQ115</f>
        <v>7.3789679999999969E-2</v>
      </c>
      <c r="AS115" s="2">
        <v>39241</v>
      </c>
      <c r="AT115" s="5">
        <v>-58.494999999999997</v>
      </c>
      <c r="AU115" s="1">
        <v>-63.4</v>
      </c>
      <c r="AV115" s="4">
        <f>AT115-AU115</f>
        <v>4.9050000000000011</v>
      </c>
      <c r="AW115" s="9">
        <v>39248</v>
      </c>
      <c r="AX115" s="4">
        <v>-3.7168191833995903E-2</v>
      </c>
      <c r="AY115" s="6">
        <v>0.2</v>
      </c>
      <c r="AZ115" s="4">
        <f>AX115-AY115</f>
        <v>-0.2371681918339959</v>
      </c>
    </row>
    <row r="116" spans="1:52" s="1" customFormat="1" x14ac:dyDescent="0.2">
      <c r="A116" s="2">
        <v>39269</v>
      </c>
      <c r="B116" s="1">
        <v>132</v>
      </c>
      <c r="C116" s="1">
        <v>130</v>
      </c>
      <c r="D116" s="1">
        <f>B116-C116</f>
        <v>2</v>
      </c>
      <c r="E116" s="2">
        <v>39269</v>
      </c>
      <c r="F116" s="1">
        <v>4.5</v>
      </c>
      <c r="G116" s="1">
        <v>4.5</v>
      </c>
      <c r="H116" s="1">
        <f>F116-G116</f>
        <v>0</v>
      </c>
      <c r="I116" s="2">
        <v>39281</v>
      </c>
      <c r="J116" s="1">
        <v>0.23243850858307746</v>
      </c>
      <c r="K116" s="1">
        <v>0.2</v>
      </c>
      <c r="L116" s="4">
        <f>J116-K116</f>
        <v>3.2438508583077452E-2</v>
      </c>
      <c r="P116" s="4"/>
      <c r="Q116" s="2">
        <v>40526</v>
      </c>
      <c r="R116" s="4">
        <v>0.83472898599732104</v>
      </c>
      <c r="S116" s="1">
        <v>0.6</v>
      </c>
      <c r="T116" s="4">
        <f>R116-S116</f>
        <v>0.23472898599732106</v>
      </c>
      <c r="U116" s="2">
        <v>39295</v>
      </c>
      <c r="V116" s="1" t="s">
        <v>52</v>
      </c>
      <c r="W116" s="1" t="s">
        <v>52</v>
      </c>
      <c r="X116" s="1">
        <v>-2.2000000000000002</v>
      </c>
      <c r="Y116" s="2">
        <v>39870</v>
      </c>
      <c r="Z116" s="5">
        <v>-5.1875434</v>
      </c>
      <c r="AA116" s="1">
        <v>-2.5</v>
      </c>
      <c r="AB116" s="1">
        <f>Z116-AA116</f>
        <v>-2.6875434</v>
      </c>
      <c r="AC116" s="2">
        <v>39842</v>
      </c>
      <c r="AD116" s="5">
        <v>0.33100000000000002</v>
      </c>
      <c r="AE116" s="6">
        <v>0.4</v>
      </c>
      <c r="AF116" s="7">
        <f>AD116-AE116</f>
        <v>-6.9000000000000006E-2</v>
      </c>
      <c r="AG116" s="8">
        <v>39294</v>
      </c>
      <c r="AH116" s="6">
        <v>111.9</v>
      </c>
      <c r="AI116" s="1">
        <v>105</v>
      </c>
      <c r="AJ116" s="1">
        <f>AH116-AI116</f>
        <v>6.9000000000000057</v>
      </c>
      <c r="AK116" s="2">
        <v>40270</v>
      </c>
      <c r="AL116" s="1">
        <v>-0.15847860538827918</v>
      </c>
      <c r="AM116" s="1">
        <v>0.2</v>
      </c>
      <c r="AN116" s="4">
        <f>AL116-AM116</f>
        <v>-0.35847860538827919</v>
      </c>
      <c r="AO116" s="2">
        <v>39281</v>
      </c>
      <c r="AP116" s="5">
        <v>0.19142955</v>
      </c>
      <c r="AQ116" s="1">
        <v>0.1</v>
      </c>
      <c r="AR116" s="4">
        <f>AP116-AQ116</f>
        <v>9.1429549999999998E-2</v>
      </c>
      <c r="AS116" s="2">
        <v>39275</v>
      </c>
      <c r="AT116" s="5">
        <v>-60.036000000000001</v>
      </c>
      <c r="AU116" s="1">
        <v>-60</v>
      </c>
      <c r="AV116" s="4">
        <f>AT116-AU116</f>
        <v>-3.6000000000001364E-2</v>
      </c>
      <c r="AW116" s="9">
        <v>39280</v>
      </c>
      <c r="AX116" s="4">
        <v>0.54623097082600702</v>
      </c>
      <c r="AY116" s="6">
        <v>0.4</v>
      </c>
      <c r="AZ116" s="4">
        <f>AX116-AY116</f>
        <v>0.146230970826007</v>
      </c>
    </row>
    <row r="117" spans="1:52" s="1" customFormat="1" x14ac:dyDescent="0.2">
      <c r="A117" s="2">
        <v>39297</v>
      </c>
      <c r="B117" s="1">
        <v>92</v>
      </c>
      <c r="C117" s="1">
        <v>135</v>
      </c>
      <c r="D117" s="1">
        <f>B117-C117</f>
        <v>-43</v>
      </c>
      <c r="E117" s="2">
        <v>39297</v>
      </c>
      <c r="F117" s="1">
        <v>4.5999999999999996</v>
      </c>
      <c r="G117" s="1">
        <v>4.5</v>
      </c>
      <c r="H117" s="1">
        <f>F117-G117</f>
        <v>9.9999999999999645E-2</v>
      </c>
      <c r="I117" s="2">
        <v>39309</v>
      </c>
      <c r="J117" s="1">
        <v>0.23617631964111924</v>
      </c>
      <c r="K117" s="1">
        <v>0.2</v>
      </c>
      <c r="L117" s="4">
        <f>J117-K117</f>
        <v>3.6176319641119226E-2</v>
      </c>
      <c r="P117" s="4"/>
      <c r="Q117" s="2">
        <v>40557</v>
      </c>
      <c r="R117" s="4">
        <v>0.60515930666863904</v>
      </c>
      <c r="S117" s="1">
        <v>0.8</v>
      </c>
      <c r="T117" s="4">
        <f>R117-S117</f>
        <v>-0.194840693331361</v>
      </c>
      <c r="U117" s="2">
        <v>39329</v>
      </c>
      <c r="V117" s="1" t="s">
        <v>52</v>
      </c>
      <c r="W117" s="1" t="s">
        <v>52</v>
      </c>
      <c r="X117" s="1">
        <v>-0.1</v>
      </c>
      <c r="Y117" s="2">
        <v>39897</v>
      </c>
      <c r="Z117" s="5">
        <v>3.4337338100000001</v>
      </c>
      <c r="AA117" s="1">
        <v>-2</v>
      </c>
      <c r="AB117" s="1">
        <f>Z117-AA117</f>
        <v>5.4337338099999997</v>
      </c>
      <c r="AC117" s="2">
        <v>39870</v>
      </c>
      <c r="AD117" s="5">
        <v>0.309</v>
      </c>
      <c r="AE117" s="6">
        <v>0.33</v>
      </c>
      <c r="AF117" s="7">
        <f>AD117-AE117</f>
        <v>-2.1000000000000019E-2</v>
      </c>
      <c r="AG117" s="8">
        <v>39322</v>
      </c>
      <c r="AH117" s="6">
        <v>105.6</v>
      </c>
      <c r="AI117" s="1">
        <v>104</v>
      </c>
      <c r="AJ117" s="1">
        <f>AH117-AI117</f>
        <v>1.5999999999999943</v>
      </c>
      <c r="AK117" s="2">
        <v>40305</v>
      </c>
      <c r="AL117" s="1">
        <v>0.31746031746033854</v>
      </c>
      <c r="AM117" s="1">
        <v>0.1</v>
      </c>
      <c r="AN117" s="4">
        <f>AL117-AM117</f>
        <v>0.21746031746033853</v>
      </c>
      <c r="AO117" s="2">
        <v>39309</v>
      </c>
      <c r="AP117" s="5">
        <v>0.11742964</v>
      </c>
      <c r="AQ117" s="1">
        <v>0.1</v>
      </c>
      <c r="AR117" s="4">
        <f>AP117-AQ117</f>
        <v>1.7429639999999996E-2</v>
      </c>
      <c r="AS117" s="2">
        <v>39308</v>
      </c>
      <c r="AT117" s="5">
        <v>-58.134999999999998</v>
      </c>
      <c r="AU117" s="1">
        <v>-60.7</v>
      </c>
      <c r="AV117" s="4">
        <f>AT117-AU117</f>
        <v>2.5650000000000048</v>
      </c>
      <c r="AW117" s="9">
        <v>39309</v>
      </c>
      <c r="AX117" s="4">
        <v>0.34246394258308799</v>
      </c>
      <c r="AY117" s="6">
        <v>0.2</v>
      </c>
      <c r="AZ117" s="4">
        <f>AX117-AY117</f>
        <v>0.14246394258308798</v>
      </c>
    </row>
    <row r="118" spans="1:52" s="1" customFormat="1" x14ac:dyDescent="0.2">
      <c r="A118" s="2">
        <v>39332</v>
      </c>
      <c r="B118" s="1">
        <v>-4</v>
      </c>
      <c r="C118" s="1">
        <v>118</v>
      </c>
      <c r="D118" s="1">
        <f>B118-C118</f>
        <v>-122</v>
      </c>
      <c r="E118" s="2">
        <v>39332</v>
      </c>
      <c r="F118" s="1">
        <v>4.5999999999999996</v>
      </c>
      <c r="G118" s="1">
        <v>4.5999999999999996</v>
      </c>
      <c r="H118" s="1">
        <f>F118-G118</f>
        <v>0</v>
      </c>
      <c r="I118" s="2">
        <v>39344</v>
      </c>
      <c r="J118" s="1">
        <v>0.15028468755481944</v>
      </c>
      <c r="K118" s="1">
        <v>0.2</v>
      </c>
      <c r="L118" s="4">
        <f>J118-K118</f>
        <v>-4.9715312445180571E-2</v>
      </c>
      <c r="P118" s="4"/>
      <c r="Q118" s="2">
        <v>40589</v>
      </c>
      <c r="R118" s="4">
        <v>0.33922819012556699</v>
      </c>
      <c r="S118" s="1">
        <v>0.6</v>
      </c>
      <c r="T118" s="4">
        <f>R118-S118</f>
        <v>-0.26077180987443299</v>
      </c>
      <c r="U118" s="2">
        <v>39356</v>
      </c>
      <c r="V118" s="1" t="s">
        <v>52</v>
      </c>
      <c r="W118" s="1" t="s">
        <v>52</v>
      </c>
      <c r="X118" s="1">
        <v>-0.8</v>
      </c>
      <c r="Y118" s="2">
        <v>39927</v>
      </c>
      <c r="Z118" s="5">
        <v>-0.79393409999999998</v>
      </c>
      <c r="AA118" s="1">
        <v>-1.5</v>
      </c>
      <c r="AB118" s="1">
        <f>Z118-AA118</f>
        <v>0.70606590000000002</v>
      </c>
      <c r="AC118" s="2">
        <v>39897</v>
      </c>
      <c r="AD118" s="5">
        <v>0.33700000000000002</v>
      </c>
      <c r="AE118" s="6">
        <v>0.3</v>
      </c>
      <c r="AF118" s="7">
        <f>AD118-AE118</f>
        <v>3.7000000000000033E-2</v>
      </c>
      <c r="AG118" s="8">
        <v>39350</v>
      </c>
      <c r="AH118" s="6">
        <v>99.5</v>
      </c>
      <c r="AI118" s="1">
        <v>104.5</v>
      </c>
      <c r="AJ118" s="1">
        <f>AH118-AI118</f>
        <v>-5</v>
      </c>
      <c r="AK118" s="2">
        <v>40333</v>
      </c>
      <c r="AL118" s="1">
        <v>0.15822784810124446</v>
      </c>
      <c r="AM118" s="1">
        <v>0.1</v>
      </c>
      <c r="AN118" s="4">
        <f>AL118-AM118</f>
        <v>5.8227848101244456E-2</v>
      </c>
      <c r="AO118" s="2">
        <v>39344</v>
      </c>
      <c r="AP118" s="5">
        <v>-0.13940430000000001</v>
      </c>
      <c r="AQ118" s="1">
        <v>-0.1</v>
      </c>
      <c r="AR118" s="4">
        <f>AP118-AQ118</f>
        <v>-3.9404300000000003E-2</v>
      </c>
      <c r="AS118" s="2">
        <v>39336</v>
      </c>
      <c r="AT118" s="5">
        <v>-59.244999999999997</v>
      </c>
      <c r="AU118" s="1">
        <v>-59.5</v>
      </c>
      <c r="AV118" s="4">
        <f>AT118-AU118</f>
        <v>0.25500000000000256</v>
      </c>
      <c r="AW118" s="9">
        <v>39339</v>
      </c>
      <c r="AX118" s="4">
        <v>0.22273587624188601</v>
      </c>
      <c r="AY118" s="6">
        <v>0.3</v>
      </c>
      <c r="AZ118" s="4">
        <f>AX118-AY118</f>
        <v>-7.7264123758113978E-2</v>
      </c>
    </row>
    <row r="119" spans="1:52" s="1" customFormat="1" x14ac:dyDescent="0.2">
      <c r="A119" s="2">
        <v>39360</v>
      </c>
      <c r="B119" s="1">
        <v>110</v>
      </c>
      <c r="C119" s="1">
        <v>115</v>
      </c>
      <c r="D119" s="1">
        <f>B119-C119</f>
        <v>-5</v>
      </c>
      <c r="E119" s="2">
        <v>39360</v>
      </c>
      <c r="F119" s="1">
        <v>4.7</v>
      </c>
      <c r="G119" s="1">
        <v>4.7</v>
      </c>
      <c r="H119" s="1">
        <f>F119-G119</f>
        <v>0</v>
      </c>
      <c r="I119" s="2">
        <v>39372</v>
      </c>
      <c r="J119" s="1">
        <v>0.21964497041420053</v>
      </c>
      <c r="K119" s="1">
        <v>0.2</v>
      </c>
      <c r="L119" s="4">
        <f>J119-K119</f>
        <v>1.9644970414200519E-2</v>
      </c>
      <c r="P119" s="4"/>
      <c r="Q119" s="2">
        <v>40613</v>
      </c>
      <c r="R119" s="4">
        <v>0.97157522991773504</v>
      </c>
      <c r="S119" s="1">
        <v>0.4</v>
      </c>
      <c r="T119" s="4">
        <f>R119-S119</f>
        <v>0.57157522991773502</v>
      </c>
      <c r="U119" s="2">
        <v>39387</v>
      </c>
      <c r="V119" s="1" t="s">
        <v>52</v>
      </c>
      <c r="W119" s="1" t="s">
        <v>52</v>
      </c>
      <c r="X119" s="1">
        <v>-0.9</v>
      </c>
      <c r="Y119" s="2">
        <v>39961</v>
      </c>
      <c r="Z119" s="5">
        <v>1.90358374</v>
      </c>
      <c r="AA119" s="1">
        <v>0.4</v>
      </c>
      <c r="AB119" s="1">
        <f>Z119-AA119</f>
        <v>1.5035837399999998</v>
      </c>
      <c r="AC119" s="2">
        <v>39927</v>
      </c>
      <c r="AD119" s="5">
        <v>0.35599999999999998</v>
      </c>
      <c r="AE119" s="6">
        <v>0.34</v>
      </c>
      <c r="AF119" s="7">
        <f>AD119-AE119</f>
        <v>1.5999999999999959E-2</v>
      </c>
      <c r="AG119" s="8">
        <v>39385</v>
      </c>
      <c r="AH119" s="6">
        <v>95.2</v>
      </c>
      <c r="AI119" s="1">
        <v>99.4</v>
      </c>
      <c r="AJ119" s="1">
        <f>AH119-AI119</f>
        <v>-4.2000000000000028</v>
      </c>
      <c r="AK119" s="2">
        <v>40361</v>
      </c>
      <c r="AL119" s="1">
        <v>5.2659294365464682E-2</v>
      </c>
      <c r="AM119" s="1">
        <v>0.1</v>
      </c>
      <c r="AN119" s="4">
        <f>AL119-AM119</f>
        <v>-4.7340705634535324E-2</v>
      </c>
      <c r="AO119" s="2">
        <v>39372</v>
      </c>
      <c r="AP119" s="5">
        <v>0.26668206999999999</v>
      </c>
      <c r="AQ119" s="1">
        <v>0.2</v>
      </c>
      <c r="AR119" s="4">
        <f>AP119-AQ119</f>
        <v>6.6682069999999982E-2</v>
      </c>
      <c r="AS119" s="2">
        <v>39366</v>
      </c>
      <c r="AT119" s="5">
        <v>-57.585999999999999</v>
      </c>
      <c r="AU119" s="1">
        <v>-59</v>
      </c>
      <c r="AV119" s="4">
        <f>AT119-AU119</f>
        <v>1.4140000000000015</v>
      </c>
      <c r="AW119" s="9">
        <v>39371</v>
      </c>
      <c r="AX119" s="4">
        <v>5.6696782457600098E-2</v>
      </c>
      <c r="AY119" s="6">
        <v>0.1</v>
      </c>
      <c r="AZ119" s="4">
        <f>AX119-AY119</f>
        <v>-4.3303217542399908E-2</v>
      </c>
    </row>
    <row r="120" spans="1:52" s="1" customFormat="1" x14ac:dyDescent="0.2">
      <c r="A120" s="2">
        <v>39388</v>
      </c>
      <c r="B120" s="1">
        <v>166</v>
      </c>
      <c r="C120" s="1">
        <v>85</v>
      </c>
      <c r="D120" s="1">
        <f>B120-C120</f>
        <v>81</v>
      </c>
      <c r="E120" s="2">
        <v>39388</v>
      </c>
      <c r="F120" s="1">
        <v>4.7</v>
      </c>
      <c r="G120" s="1">
        <v>4.7</v>
      </c>
      <c r="H120" s="1">
        <f>F120-G120</f>
        <v>0</v>
      </c>
      <c r="I120" s="2">
        <v>39401</v>
      </c>
      <c r="J120" s="1">
        <v>0.15870466761764113</v>
      </c>
      <c r="K120" s="1">
        <v>0.2</v>
      </c>
      <c r="L120" s="4">
        <f>J120-K120</f>
        <v>-4.1295332382358885E-2</v>
      </c>
      <c r="P120" s="4"/>
      <c r="Q120" s="2">
        <v>40646</v>
      </c>
      <c r="R120" s="4">
        <v>0.38858934589608901</v>
      </c>
      <c r="S120" s="1">
        <v>0.5</v>
      </c>
      <c r="T120" s="4">
        <f>R120-S120</f>
        <v>-0.11141065410391099</v>
      </c>
      <c r="U120" s="2">
        <v>39419</v>
      </c>
      <c r="V120" s="1" t="s">
        <v>52</v>
      </c>
      <c r="W120" s="1" t="s">
        <v>52</v>
      </c>
      <c r="X120" s="1">
        <v>0.4</v>
      </c>
      <c r="Y120" s="2">
        <v>39988</v>
      </c>
      <c r="Z120" s="5">
        <v>1.75172876</v>
      </c>
      <c r="AA120" s="1">
        <v>-0.6</v>
      </c>
      <c r="AB120" s="1">
        <f>Z120-AA120</f>
        <v>2.3517287599999999</v>
      </c>
      <c r="AC120" s="2">
        <v>39961</v>
      </c>
      <c r="AD120" s="5">
        <v>0.35199999999999998</v>
      </c>
      <c r="AE120" s="6">
        <v>0.36</v>
      </c>
      <c r="AF120" s="7">
        <f>AD120-AE120</f>
        <v>-8.0000000000000071E-3</v>
      </c>
      <c r="AG120" s="8">
        <v>39413</v>
      </c>
      <c r="AH120" s="6">
        <v>87.8</v>
      </c>
      <c r="AI120" s="1">
        <v>90.5</v>
      </c>
      <c r="AJ120" s="1">
        <f>AH120-AI120</f>
        <v>-2.7000000000000028</v>
      </c>
      <c r="AK120" s="2">
        <v>40396</v>
      </c>
      <c r="AL120" s="1">
        <v>0.21052631578946102</v>
      </c>
      <c r="AM120" s="1">
        <v>0.1</v>
      </c>
      <c r="AN120" s="4">
        <f>AL120-AM120</f>
        <v>0.11052631578946101</v>
      </c>
      <c r="AO120" s="2">
        <v>39401</v>
      </c>
      <c r="AP120" s="5">
        <v>0.29333819999999999</v>
      </c>
      <c r="AQ120" s="1">
        <v>0.3</v>
      </c>
      <c r="AR120" s="4">
        <f>AP120-AQ120</f>
        <v>-6.6617999999999955E-3</v>
      </c>
      <c r="AS120" s="2">
        <v>39395</v>
      </c>
      <c r="AT120" s="5">
        <v>-56.453000000000003</v>
      </c>
      <c r="AU120" s="1">
        <v>-58.2</v>
      </c>
      <c r="AV120" s="4">
        <f>AT120-AU120</f>
        <v>1.7469999999999999</v>
      </c>
      <c r="AW120" s="9">
        <v>39402</v>
      </c>
      <c r="AX120" s="4">
        <v>-0.50526032820538203</v>
      </c>
      <c r="AY120" s="6">
        <v>0.1</v>
      </c>
      <c r="AZ120" s="4">
        <f>AX120-AY120</f>
        <v>-0.605260328205382</v>
      </c>
    </row>
    <row r="121" spans="1:52" s="1" customFormat="1" x14ac:dyDescent="0.2">
      <c r="A121" s="2">
        <v>39423</v>
      </c>
      <c r="B121" s="1">
        <v>94</v>
      </c>
      <c r="C121" s="1">
        <v>100</v>
      </c>
      <c r="D121" s="1">
        <f>B121-C121</f>
        <v>-6</v>
      </c>
      <c r="E121" s="2">
        <v>39423</v>
      </c>
      <c r="F121" s="1">
        <v>4.7</v>
      </c>
      <c r="G121" s="1">
        <v>4.8</v>
      </c>
      <c r="H121" s="1">
        <f>F121-G121</f>
        <v>-9.9999999999999645E-2</v>
      </c>
      <c r="I121" s="2">
        <v>39430</v>
      </c>
      <c r="J121" s="1">
        <v>0.27493515680264013</v>
      </c>
      <c r="K121" s="1">
        <v>0.2</v>
      </c>
      <c r="L121" s="4">
        <f>J121-K121</f>
        <v>7.4935156802640124E-2</v>
      </c>
      <c r="P121" s="4"/>
      <c r="Q121" s="2">
        <v>40675</v>
      </c>
      <c r="R121" s="4">
        <v>0.51217050321268198</v>
      </c>
      <c r="S121" s="1">
        <v>0.6</v>
      </c>
      <c r="T121" s="4">
        <f>R121-S121</f>
        <v>-8.7829496787317995E-2</v>
      </c>
      <c r="U121" s="2">
        <v>39449</v>
      </c>
      <c r="V121" s="1" t="s">
        <v>52</v>
      </c>
      <c r="W121" s="1" t="s">
        <v>52</v>
      </c>
      <c r="X121" s="1">
        <v>-3.2</v>
      </c>
      <c r="Y121" s="2">
        <v>40023</v>
      </c>
      <c r="Z121" s="5">
        <v>-2.4916524999999998</v>
      </c>
      <c r="AA121" s="1">
        <v>-0.6</v>
      </c>
      <c r="AB121" s="1">
        <f>Z121-AA121</f>
        <v>-1.8916524999999997</v>
      </c>
      <c r="AC121" s="2">
        <v>39988</v>
      </c>
      <c r="AD121" s="5">
        <v>0.34200000000000003</v>
      </c>
      <c r="AE121" s="6">
        <v>0.36</v>
      </c>
      <c r="AF121" s="7">
        <f>AD121-AE121</f>
        <v>-1.799999999999996E-2</v>
      </c>
      <c r="AG121" s="8">
        <v>39443</v>
      </c>
      <c r="AH121" s="6">
        <v>90.6</v>
      </c>
      <c r="AI121" s="1">
        <v>86.5</v>
      </c>
      <c r="AJ121" s="1">
        <f>AH121-AI121</f>
        <v>4.0999999999999943</v>
      </c>
      <c r="AK121" s="2">
        <v>40424</v>
      </c>
      <c r="AL121" s="1">
        <v>0.21008403361344463</v>
      </c>
      <c r="AM121" s="1">
        <v>0.1</v>
      </c>
      <c r="AN121" s="4">
        <f>AL121-AM121</f>
        <v>0.11008403361344463</v>
      </c>
      <c r="AO121" s="2">
        <v>39430</v>
      </c>
      <c r="AP121" s="5">
        <v>0.79558454999999995</v>
      </c>
      <c r="AQ121" s="1">
        <v>0.7</v>
      </c>
      <c r="AR121" s="4">
        <f>AP121-AQ121</f>
        <v>9.558454999999999E-2</v>
      </c>
      <c r="AS121" s="2">
        <v>39428</v>
      </c>
      <c r="AT121" s="5">
        <v>-57.823</v>
      </c>
      <c r="AU121" s="1">
        <v>-57</v>
      </c>
      <c r="AV121" s="4">
        <f>AT121-AU121</f>
        <v>-0.8230000000000004</v>
      </c>
      <c r="AW121" s="9">
        <v>39430</v>
      </c>
      <c r="AX121" s="4">
        <v>0.27520197765106602</v>
      </c>
      <c r="AY121" s="6">
        <v>0.1</v>
      </c>
      <c r="AZ121" s="4">
        <f>AX121-AY121</f>
        <v>0.17520197765106602</v>
      </c>
    </row>
    <row r="122" spans="1:52" s="1" customFormat="1" x14ac:dyDescent="0.2">
      <c r="A122" s="2">
        <v>39451</v>
      </c>
      <c r="B122" s="1">
        <v>18</v>
      </c>
      <c r="C122" s="1">
        <v>70</v>
      </c>
      <c r="D122" s="1">
        <f>B122-C122</f>
        <v>-52</v>
      </c>
      <c r="E122" s="2">
        <v>39451</v>
      </c>
      <c r="F122" s="1">
        <v>5</v>
      </c>
      <c r="G122" s="1">
        <v>4.8</v>
      </c>
      <c r="H122" s="1">
        <f>F122-G122</f>
        <v>0.20000000000000018</v>
      </c>
      <c r="I122" s="2">
        <v>39463</v>
      </c>
      <c r="J122" s="1">
        <v>0.24220135162462383</v>
      </c>
      <c r="K122" s="1">
        <v>0.2</v>
      </c>
      <c r="L122" s="4">
        <f>J122-K122</f>
        <v>4.2201351624623823E-2</v>
      </c>
      <c r="P122" s="4"/>
      <c r="Q122" s="2">
        <v>40708</v>
      </c>
      <c r="R122" s="4">
        <v>-0.240175854080283</v>
      </c>
      <c r="S122" s="1">
        <v>-0.4</v>
      </c>
      <c r="T122" s="4">
        <f>R122-S122</f>
        <v>0.15982414591971703</v>
      </c>
      <c r="U122" s="2">
        <v>39479</v>
      </c>
      <c r="V122" s="1" t="s">
        <v>52</v>
      </c>
      <c r="W122" s="1" t="s">
        <v>52</v>
      </c>
      <c r="X122" s="1">
        <v>3.7</v>
      </c>
      <c r="Y122" s="2">
        <v>40051</v>
      </c>
      <c r="Z122" s="5">
        <v>4.8605101399999997</v>
      </c>
      <c r="AA122" s="1">
        <v>3</v>
      </c>
      <c r="AB122" s="1">
        <f>Z122-AA122</f>
        <v>1.8605101399999997</v>
      </c>
      <c r="AC122" s="2">
        <v>40021</v>
      </c>
      <c r="AD122" s="5">
        <v>0.38400000000000001</v>
      </c>
      <c r="AE122" s="6">
        <v>0.36</v>
      </c>
      <c r="AF122" s="7">
        <f>AD122-AE122</f>
        <v>2.4000000000000021E-2</v>
      </c>
      <c r="AG122" s="8">
        <v>39449</v>
      </c>
      <c r="AH122" s="6">
        <v>87.3</v>
      </c>
      <c r="AI122" s="1">
        <v>87.5</v>
      </c>
      <c r="AJ122" s="1">
        <f>AH122-AI122</f>
        <v>-0.20000000000000284</v>
      </c>
      <c r="AK122" s="2">
        <v>40459</v>
      </c>
      <c r="AL122" s="1">
        <v>0.10482180293502896</v>
      </c>
      <c r="AM122" s="1">
        <v>0.2</v>
      </c>
      <c r="AN122" s="4">
        <f>AL122-AM122</f>
        <v>-9.5178197064971048E-2</v>
      </c>
      <c r="AO122" s="2">
        <v>39463</v>
      </c>
      <c r="AP122" s="5">
        <v>0.28257307999999998</v>
      </c>
      <c r="AQ122" s="1">
        <v>0.2</v>
      </c>
      <c r="AR122" s="4">
        <f>AP122-AQ122</f>
        <v>8.2573079999999965E-2</v>
      </c>
      <c r="AS122" s="2">
        <v>39458</v>
      </c>
      <c r="AT122" s="5">
        <v>-63.118000000000002</v>
      </c>
      <c r="AU122" s="1">
        <v>-58.6</v>
      </c>
      <c r="AV122" s="4">
        <f>AT122-AU122</f>
        <v>-4.5180000000000007</v>
      </c>
      <c r="AW122" s="9">
        <v>39463</v>
      </c>
      <c r="AX122" s="4">
        <v>-4.4291329950235402E-2</v>
      </c>
      <c r="AY122" s="6">
        <v>-0.5</v>
      </c>
      <c r="AZ122" s="4">
        <f>AX122-AY122</f>
        <v>0.45570867004976462</v>
      </c>
    </row>
    <row r="123" spans="1:52" s="1" customFormat="1" x14ac:dyDescent="0.2">
      <c r="A123" s="2">
        <v>39479</v>
      </c>
      <c r="B123" s="1">
        <v>-17</v>
      </c>
      <c r="C123" s="1">
        <v>58</v>
      </c>
      <c r="D123" s="1">
        <f>B123-C123</f>
        <v>-75</v>
      </c>
      <c r="E123" s="2">
        <v>39479</v>
      </c>
      <c r="F123" s="1">
        <v>4.9000000000000004</v>
      </c>
      <c r="G123" s="1">
        <v>4.9000000000000004</v>
      </c>
      <c r="H123" s="1">
        <f>F123-G123</f>
        <v>0</v>
      </c>
      <c r="I123" s="2">
        <v>39498</v>
      </c>
      <c r="J123" s="1">
        <v>0.28947022725992749</v>
      </c>
      <c r="K123" s="1">
        <v>0.2</v>
      </c>
      <c r="L123" s="4">
        <f>J123-K123</f>
        <v>8.9470227259927482E-2</v>
      </c>
      <c r="P123" s="4"/>
      <c r="Q123" s="2">
        <v>40738</v>
      </c>
      <c r="R123" s="4">
        <v>0.137893635976294</v>
      </c>
      <c r="S123" s="1">
        <v>-0.1</v>
      </c>
      <c r="T123" s="4">
        <f>R123-S123</f>
        <v>0.23789363597629401</v>
      </c>
      <c r="U123" s="2">
        <v>39510</v>
      </c>
      <c r="V123" s="1" t="s">
        <v>52</v>
      </c>
      <c r="W123" s="1" t="s">
        <v>52</v>
      </c>
      <c r="X123" s="1">
        <v>0.2</v>
      </c>
      <c r="Y123" s="2">
        <v>40081</v>
      </c>
      <c r="Z123" s="5">
        <v>-2.3967236000000001</v>
      </c>
      <c r="AA123" s="1">
        <v>0.5</v>
      </c>
      <c r="AB123" s="1">
        <f>Z123-AA123</f>
        <v>-2.8967236000000001</v>
      </c>
      <c r="AC123" s="2">
        <v>40051</v>
      </c>
      <c r="AD123" s="5">
        <v>0.433</v>
      </c>
      <c r="AE123" s="6">
        <v>0.39</v>
      </c>
      <c r="AF123" s="7">
        <f>AD123-AE123</f>
        <v>4.2999999999999983E-2</v>
      </c>
      <c r="AG123" s="8">
        <v>39479</v>
      </c>
      <c r="AH123" s="6">
        <v>76.400000000000006</v>
      </c>
      <c r="AI123" s="1">
        <v>81.3</v>
      </c>
      <c r="AJ123" s="1">
        <f>AH123-AI123</f>
        <v>-4.8999999999999915</v>
      </c>
      <c r="AK123" s="2">
        <v>40487</v>
      </c>
      <c r="AL123" s="1">
        <v>0.36649214659685292</v>
      </c>
      <c r="AM123" s="1">
        <v>0.1</v>
      </c>
      <c r="AN123" s="4">
        <f>AL123-AM123</f>
        <v>0.26649214659685294</v>
      </c>
      <c r="AO123" s="2">
        <v>39498</v>
      </c>
      <c r="AP123" s="5">
        <v>0.39493574999999997</v>
      </c>
      <c r="AQ123" s="1">
        <v>0.3</v>
      </c>
      <c r="AR123" s="4">
        <f>AP123-AQ123</f>
        <v>9.4935749999999985E-2</v>
      </c>
      <c r="AS123" s="2">
        <v>39492</v>
      </c>
      <c r="AT123" s="5">
        <v>-58.759</v>
      </c>
      <c r="AU123" s="1">
        <v>-61.6</v>
      </c>
      <c r="AV123" s="4">
        <f>AT123-AU123</f>
        <v>2.8410000000000011</v>
      </c>
      <c r="AW123" s="9">
        <v>39493</v>
      </c>
      <c r="AX123" s="4">
        <v>9.3404879484924E-2</v>
      </c>
      <c r="AY123" s="6">
        <v>0.1</v>
      </c>
      <c r="AZ123" s="4">
        <f>AX123-AY123</f>
        <v>-6.5951205150760056E-3</v>
      </c>
    </row>
    <row r="124" spans="1:52" s="1" customFormat="1" x14ac:dyDescent="0.2">
      <c r="A124" s="2">
        <v>39514</v>
      </c>
      <c r="B124" s="1">
        <v>-63</v>
      </c>
      <c r="C124" s="1">
        <v>25</v>
      </c>
      <c r="D124" s="1">
        <f>B124-C124</f>
        <v>-88</v>
      </c>
      <c r="E124" s="2">
        <v>39514</v>
      </c>
      <c r="F124" s="1">
        <v>4.8</v>
      </c>
      <c r="G124" s="1">
        <v>5</v>
      </c>
      <c r="H124" s="1">
        <f>F124-G124</f>
        <v>-0.20000000000000018</v>
      </c>
      <c r="I124" s="2">
        <v>39521</v>
      </c>
      <c r="J124" s="1">
        <v>4.0231094893931535E-2</v>
      </c>
      <c r="K124" s="1">
        <v>0.2</v>
      </c>
      <c r="L124" s="4">
        <f>J124-K124</f>
        <v>-0.15976890510606848</v>
      </c>
      <c r="P124" s="4"/>
      <c r="Q124" s="2">
        <v>40767</v>
      </c>
      <c r="R124" s="4">
        <v>0.46524314615530998</v>
      </c>
      <c r="S124" s="1">
        <v>0.5</v>
      </c>
      <c r="T124" s="4">
        <f>R124-S124</f>
        <v>-3.4756853844690017E-2</v>
      </c>
      <c r="U124" s="2">
        <v>39539</v>
      </c>
      <c r="V124" s="1" t="s">
        <v>52</v>
      </c>
      <c r="W124" s="1" t="s">
        <v>52</v>
      </c>
      <c r="X124" s="1">
        <v>0.6</v>
      </c>
      <c r="Y124" s="2">
        <v>40114</v>
      </c>
      <c r="Z124" s="5">
        <v>0.98136025000000005</v>
      </c>
      <c r="AA124" s="1">
        <v>1</v>
      </c>
      <c r="AB124" s="1">
        <f>Z124-AA124</f>
        <v>-1.8639749999999955E-2</v>
      </c>
      <c r="AC124" s="2">
        <v>40081</v>
      </c>
      <c r="AD124" s="5">
        <v>0.42899999999999999</v>
      </c>
      <c r="AE124" s="6">
        <v>0.44</v>
      </c>
      <c r="AF124" s="7">
        <f>AD124-AE124</f>
        <v>-1.100000000000001E-2</v>
      </c>
      <c r="AG124" s="8">
        <v>39510</v>
      </c>
      <c r="AH124" s="6">
        <v>65.900000000000006</v>
      </c>
      <c r="AI124" s="1">
        <v>73</v>
      </c>
      <c r="AJ124" s="1">
        <f>AH124-AI124</f>
        <v>-7.0999999999999943</v>
      </c>
      <c r="AK124" s="2">
        <v>40515</v>
      </c>
      <c r="AL124" s="1">
        <v>0.10432968179445723</v>
      </c>
      <c r="AM124" s="1">
        <v>0.2</v>
      </c>
      <c r="AN124" s="4">
        <f>AL124-AM124</f>
        <v>-9.5670318205542781E-2</v>
      </c>
      <c r="AO124" s="2">
        <v>39521</v>
      </c>
      <c r="AP124" s="5">
        <v>2.5880400000000001E-2</v>
      </c>
      <c r="AQ124" s="1">
        <v>0.3</v>
      </c>
      <c r="AR124" s="4">
        <f>AP124-AQ124</f>
        <v>-0.27411959999999996</v>
      </c>
      <c r="AS124" s="2">
        <v>39518</v>
      </c>
      <c r="AT124" s="5">
        <v>-58.2</v>
      </c>
      <c r="AU124" s="1">
        <v>-59.5</v>
      </c>
      <c r="AV124" s="4">
        <f>AT124-AU124</f>
        <v>1.2999999999999972</v>
      </c>
      <c r="AW124" s="9">
        <v>39524</v>
      </c>
      <c r="AX124" s="4">
        <v>-0.53791575365961097</v>
      </c>
      <c r="AY124" s="6">
        <v>-0.1</v>
      </c>
      <c r="AZ124" s="4">
        <f>AX124-AY124</f>
        <v>-0.437915753659611</v>
      </c>
    </row>
    <row r="125" spans="1:52" s="1" customFormat="1" x14ac:dyDescent="0.2">
      <c r="A125" s="2">
        <v>39542</v>
      </c>
      <c r="B125" s="1">
        <v>-80</v>
      </c>
      <c r="C125" s="1">
        <v>-50</v>
      </c>
      <c r="D125" s="1">
        <f>B125-C125</f>
        <v>-30</v>
      </c>
      <c r="E125" s="2">
        <v>39542</v>
      </c>
      <c r="F125" s="1">
        <v>5.0999999999999996</v>
      </c>
      <c r="G125" s="1">
        <v>5</v>
      </c>
      <c r="H125" s="1">
        <f>F125-G125</f>
        <v>9.9999999999999645E-2</v>
      </c>
      <c r="I125" s="2">
        <v>39554</v>
      </c>
      <c r="J125" s="1">
        <v>0.15197497322901862</v>
      </c>
      <c r="K125" s="1">
        <v>0.2</v>
      </c>
      <c r="L125" s="4">
        <f>J125-K125</f>
        <v>-4.8025026770981388E-2</v>
      </c>
      <c r="P125" s="4"/>
      <c r="Q125" s="2">
        <v>40800</v>
      </c>
      <c r="R125" s="4">
        <v>4.2122782774863997E-2</v>
      </c>
      <c r="S125" s="1">
        <v>0.2</v>
      </c>
      <c r="T125" s="4">
        <f>R125-S125</f>
        <v>-0.15787721722513601</v>
      </c>
      <c r="U125" s="2">
        <v>39569</v>
      </c>
      <c r="V125" s="1" t="s">
        <v>52</v>
      </c>
      <c r="W125" s="1" t="s">
        <v>52</v>
      </c>
      <c r="X125" s="1">
        <v>0.6</v>
      </c>
      <c r="Y125" s="2">
        <v>40142</v>
      </c>
      <c r="Z125" s="5">
        <v>-0.61839520000000003</v>
      </c>
      <c r="AA125" s="1">
        <v>0.5</v>
      </c>
      <c r="AB125" s="1">
        <f>Z125-AA125</f>
        <v>-1.1183952000000001</v>
      </c>
      <c r="AC125" s="2">
        <v>40114</v>
      </c>
      <c r="AD125" s="5">
        <v>0.40200000000000002</v>
      </c>
      <c r="AE125" s="6">
        <v>0.44</v>
      </c>
      <c r="AF125" s="7">
        <f>AD125-AE125</f>
        <v>-3.7999999999999978E-2</v>
      </c>
      <c r="AG125" s="8">
        <v>39539</v>
      </c>
      <c r="AH125" s="6">
        <v>62.8</v>
      </c>
      <c r="AI125" s="1">
        <v>62</v>
      </c>
      <c r="AJ125" s="1">
        <f>AH125-AI125</f>
        <v>0.79999999999999716</v>
      </c>
      <c r="AK125" s="2">
        <v>40550</v>
      </c>
      <c r="AL125" s="1">
        <v>0.10422094841062712</v>
      </c>
      <c r="AM125" s="1">
        <v>0.2</v>
      </c>
      <c r="AN125" s="4">
        <f>AL125-AM125</f>
        <v>-9.5779051589372888E-2</v>
      </c>
      <c r="AO125" s="2">
        <v>39554</v>
      </c>
      <c r="AP125" s="5">
        <v>0.34341466999999998</v>
      </c>
      <c r="AQ125" s="1">
        <v>0.3</v>
      </c>
      <c r="AR125" s="4">
        <f>AP125-AQ125</f>
        <v>4.3414669999999989E-2</v>
      </c>
      <c r="AS125" s="2">
        <v>39548</v>
      </c>
      <c r="AT125" s="5">
        <v>-62.320999999999998</v>
      </c>
      <c r="AU125" s="1">
        <v>-57.5</v>
      </c>
      <c r="AV125" s="4">
        <f>AT125-AU125</f>
        <v>-4.820999999999998</v>
      </c>
      <c r="AW125" s="9">
        <v>39554</v>
      </c>
      <c r="AX125" s="4">
        <v>0.32846878607028102</v>
      </c>
      <c r="AY125" s="6">
        <v>-0.1</v>
      </c>
      <c r="AZ125" s="4">
        <f>AX125-AY125</f>
        <v>0.42846878607028105</v>
      </c>
    </row>
    <row r="126" spans="1:52" s="1" customFormat="1" x14ac:dyDescent="0.2">
      <c r="A126" s="2">
        <v>39570</v>
      </c>
      <c r="B126" s="1">
        <v>-20</v>
      </c>
      <c r="C126" s="1">
        <v>-75</v>
      </c>
      <c r="D126" s="1">
        <f>B126-C126</f>
        <v>55</v>
      </c>
      <c r="E126" s="2">
        <v>39570</v>
      </c>
      <c r="F126" s="1">
        <v>5</v>
      </c>
      <c r="G126" s="1">
        <v>5.2</v>
      </c>
      <c r="H126" s="1">
        <f>F126-G126</f>
        <v>-0.20000000000000018</v>
      </c>
      <c r="I126" s="2">
        <v>39582</v>
      </c>
      <c r="J126" s="1">
        <v>0.1036530703720344</v>
      </c>
      <c r="K126" s="1">
        <v>0.2</v>
      </c>
      <c r="L126" s="4">
        <f>J126-K126</f>
        <v>-9.6346929627965608E-2</v>
      </c>
      <c r="P126" s="4"/>
      <c r="Q126" s="2">
        <v>40830</v>
      </c>
      <c r="R126" s="4">
        <v>1.13390514476853</v>
      </c>
      <c r="S126" s="1">
        <v>0.7</v>
      </c>
      <c r="T126" s="4">
        <f>R126-S126</f>
        <v>0.43390514476853004</v>
      </c>
      <c r="U126" s="2">
        <v>39601</v>
      </c>
      <c r="V126" s="1" t="s">
        <v>52</v>
      </c>
      <c r="W126" s="1" t="s">
        <v>52</v>
      </c>
      <c r="X126" s="1">
        <v>1.1000000000000001</v>
      </c>
      <c r="Y126" s="2">
        <v>40171</v>
      </c>
      <c r="Z126" s="5">
        <v>0.18973053000000001</v>
      </c>
      <c r="AA126" s="1">
        <v>0.5</v>
      </c>
      <c r="AB126" s="1">
        <f>Z126-AA126</f>
        <v>-0.31026946999999999</v>
      </c>
      <c r="AC126" s="2">
        <v>40142</v>
      </c>
      <c r="AD126" s="5">
        <v>0.43</v>
      </c>
      <c r="AE126" s="6">
        <v>0.41</v>
      </c>
      <c r="AF126" s="7">
        <f>AD126-AE126</f>
        <v>2.0000000000000018E-2</v>
      </c>
      <c r="AG126" s="8">
        <v>39569</v>
      </c>
      <c r="AH126" s="6">
        <v>58.1</v>
      </c>
      <c r="AI126" s="1">
        <v>60</v>
      </c>
      <c r="AJ126" s="1">
        <f>AH126-AI126</f>
        <v>-1.8999999999999986</v>
      </c>
      <c r="AK126" s="2">
        <v>40578</v>
      </c>
      <c r="AL126" s="1">
        <v>0.67673086933888182</v>
      </c>
      <c r="AM126" s="1">
        <v>0.2</v>
      </c>
      <c r="AN126" s="4">
        <f>AL126-AM126</f>
        <v>0.47673086933888181</v>
      </c>
      <c r="AO126" s="2">
        <v>39582</v>
      </c>
      <c r="AP126" s="5">
        <v>0.20721891000000001</v>
      </c>
      <c r="AQ126" s="1">
        <v>0.3</v>
      </c>
      <c r="AR126" s="4">
        <f>AP126-AQ126</f>
        <v>-9.2781089999999983E-2</v>
      </c>
      <c r="AS126" s="2">
        <v>39577</v>
      </c>
      <c r="AT126" s="5">
        <v>-58.21</v>
      </c>
      <c r="AU126" s="1">
        <v>-60.8</v>
      </c>
      <c r="AV126" s="4">
        <f>AT126-AU126</f>
        <v>2.5899999999999963</v>
      </c>
      <c r="AW126" s="9">
        <v>39583</v>
      </c>
      <c r="AX126" s="4">
        <v>-0.71635937272565597</v>
      </c>
      <c r="AY126" s="6">
        <v>-0.3</v>
      </c>
      <c r="AZ126" s="4">
        <f>AX126-AY126</f>
        <v>-0.41635937272565599</v>
      </c>
    </row>
    <row r="127" spans="1:52" s="1" customFormat="1" x14ac:dyDescent="0.2">
      <c r="A127" s="2">
        <v>39605</v>
      </c>
      <c r="B127" s="1">
        <v>-49</v>
      </c>
      <c r="C127" s="1">
        <v>-60</v>
      </c>
      <c r="D127" s="1">
        <f>B127-C127</f>
        <v>11</v>
      </c>
      <c r="E127" s="2">
        <v>39605</v>
      </c>
      <c r="F127" s="1">
        <v>5.5</v>
      </c>
      <c r="G127" s="1">
        <v>5.0999999999999996</v>
      </c>
      <c r="H127" s="1">
        <f>F127-G127</f>
        <v>0.40000000000000036</v>
      </c>
      <c r="I127" s="2">
        <v>39612</v>
      </c>
      <c r="J127" s="1">
        <v>0.20242726144833323</v>
      </c>
      <c r="K127" s="1">
        <v>0.2</v>
      </c>
      <c r="L127" s="4">
        <f>J127-K127</f>
        <v>2.4272614483332178E-3</v>
      </c>
      <c r="P127" s="4"/>
      <c r="Q127" s="2">
        <v>40862</v>
      </c>
      <c r="R127" s="4">
        <v>0.53927232367463596</v>
      </c>
      <c r="S127" s="1">
        <v>0.3</v>
      </c>
      <c r="T127" s="4">
        <f>R127-S127</f>
        <v>0.23927232367463597</v>
      </c>
      <c r="U127" s="2">
        <v>39630</v>
      </c>
      <c r="V127" s="1" t="s">
        <v>52</v>
      </c>
      <c r="W127" s="1" t="s">
        <v>52</v>
      </c>
      <c r="X127" s="1">
        <v>1.5</v>
      </c>
      <c r="Y127" s="2">
        <v>40206</v>
      </c>
      <c r="Z127" s="5">
        <v>0.27291077000000002</v>
      </c>
      <c r="AA127" s="1">
        <v>2</v>
      </c>
      <c r="AB127" s="1">
        <f>Z127-AA127</f>
        <v>-1.72708923</v>
      </c>
      <c r="AC127" s="2">
        <v>40170</v>
      </c>
      <c r="AD127" s="5">
        <v>0.35499999999999998</v>
      </c>
      <c r="AE127" s="6">
        <v>0.44</v>
      </c>
      <c r="AF127" s="7">
        <f>AD127-AE127</f>
        <v>-8.500000000000002E-2</v>
      </c>
      <c r="AG127" s="8">
        <v>39601</v>
      </c>
      <c r="AH127" s="6">
        <v>51</v>
      </c>
      <c r="AI127" s="1">
        <v>56.5</v>
      </c>
      <c r="AJ127" s="1">
        <f>AH127-AI127</f>
        <v>-5.5</v>
      </c>
      <c r="AK127" s="2">
        <v>40606</v>
      </c>
      <c r="AL127" s="1">
        <v>-5.1706308169607862E-2</v>
      </c>
      <c r="AM127" s="1">
        <v>0.2</v>
      </c>
      <c r="AN127" s="4">
        <f>AL127-AM127</f>
        <v>-0.25170630816960787</v>
      </c>
      <c r="AO127" s="2">
        <v>39612</v>
      </c>
      <c r="AP127" s="5">
        <v>0.64984584000000001</v>
      </c>
      <c r="AQ127" s="1">
        <v>0.5</v>
      </c>
      <c r="AR127" s="4">
        <f>AP127-AQ127</f>
        <v>0.14984584000000001</v>
      </c>
      <c r="AS127" s="2">
        <v>39609</v>
      </c>
      <c r="AT127" s="5">
        <v>-60.901000000000003</v>
      </c>
      <c r="AU127" s="1">
        <v>-59.5</v>
      </c>
      <c r="AV127" s="4">
        <f>AT127-AU127</f>
        <v>-1.4010000000000034</v>
      </c>
      <c r="AW127" s="9">
        <v>39616</v>
      </c>
      <c r="AX127" s="4">
        <v>-0.17686513965595399</v>
      </c>
      <c r="AY127" s="6">
        <v>0.1</v>
      </c>
      <c r="AZ127" s="4">
        <f>AX127-AY127</f>
        <v>-0.276865139655954</v>
      </c>
    </row>
    <row r="128" spans="1:52" s="1" customFormat="1" x14ac:dyDescent="0.2">
      <c r="A128" s="2">
        <v>39632</v>
      </c>
      <c r="B128" s="1">
        <v>-62</v>
      </c>
      <c r="C128" s="1">
        <v>-50</v>
      </c>
      <c r="D128" s="1">
        <f>B128-C128</f>
        <v>-12</v>
      </c>
      <c r="E128" s="2">
        <v>39632</v>
      </c>
      <c r="F128" s="1">
        <v>5.5</v>
      </c>
      <c r="G128" s="1">
        <v>5.5</v>
      </c>
      <c r="H128" s="1">
        <f>F128-G128</f>
        <v>0</v>
      </c>
      <c r="I128" s="2">
        <v>39645</v>
      </c>
      <c r="J128" s="1">
        <v>0.32304312206748387</v>
      </c>
      <c r="K128" s="1">
        <v>0.2</v>
      </c>
      <c r="L128" s="4">
        <f>J128-K128</f>
        <v>0.12304312206748386</v>
      </c>
      <c r="P128" s="4"/>
      <c r="Q128" s="2">
        <v>40890</v>
      </c>
      <c r="R128" s="4">
        <v>0.221599835368638</v>
      </c>
      <c r="S128" s="1">
        <v>0.6</v>
      </c>
      <c r="T128" s="4">
        <f>R128-S128</f>
        <v>-0.37840016463136195</v>
      </c>
      <c r="U128" s="2">
        <v>39661</v>
      </c>
      <c r="V128" s="1" t="s">
        <v>52</v>
      </c>
      <c r="W128" s="1" t="s">
        <v>52</v>
      </c>
      <c r="X128" s="1">
        <v>0.8</v>
      </c>
      <c r="Y128" s="2">
        <v>40234</v>
      </c>
      <c r="Z128" s="5">
        <v>3.0357038200000002</v>
      </c>
      <c r="AA128" s="1">
        <v>1.5</v>
      </c>
      <c r="AB128" s="1">
        <f>Z128-AA128</f>
        <v>1.5357038200000002</v>
      </c>
      <c r="AC128" s="2">
        <v>40205</v>
      </c>
      <c r="AD128" s="5">
        <v>0.34200000000000003</v>
      </c>
      <c r="AE128" s="6">
        <v>0.37</v>
      </c>
      <c r="AF128" s="7">
        <f>AD128-AE128</f>
        <v>-2.7999999999999969E-2</v>
      </c>
      <c r="AG128" s="8">
        <v>39630</v>
      </c>
      <c r="AH128" s="6">
        <v>51.9</v>
      </c>
      <c r="AI128" s="1">
        <v>50</v>
      </c>
      <c r="AJ128" s="1">
        <f>AH128-AI128</f>
        <v>1.8999999999999986</v>
      </c>
      <c r="AK128" s="2">
        <v>40634</v>
      </c>
      <c r="AL128" s="1">
        <v>0</v>
      </c>
      <c r="AM128" s="1">
        <v>0.2</v>
      </c>
      <c r="AN128" s="4">
        <f>AL128-AM128</f>
        <v>-0.2</v>
      </c>
      <c r="AO128" s="2">
        <v>39645</v>
      </c>
      <c r="AP128" s="5">
        <v>1.05563096</v>
      </c>
      <c r="AQ128" s="1">
        <v>0.8</v>
      </c>
      <c r="AR128" s="4">
        <f>AP128-AQ128</f>
        <v>0.25563095999999996</v>
      </c>
      <c r="AS128" s="2">
        <v>39640</v>
      </c>
      <c r="AT128" s="5">
        <v>-59.79</v>
      </c>
      <c r="AU128" s="1">
        <v>-62.1</v>
      </c>
      <c r="AV128" s="4">
        <f>AT128-AU128</f>
        <v>2.3100000000000023</v>
      </c>
      <c r="AW128" s="9">
        <v>39645</v>
      </c>
      <c r="AX128" s="4">
        <v>0.483778708340522</v>
      </c>
      <c r="AY128" s="6">
        <v>0</v>
      </c>
      <c r="AZ128" s="4">
        <f>AX128-AY128</f>
        <v>0.483778708340522</v>
      </c>
    </row>
    <row r="129" spans="1:52" s="1" customFormat="1" x14ac:dyDescent="0.2">
      <c r="A129" s="2">
        <v>39661</v>
      </c>
      <c r="B129" s="1">
        <v>-51</v>
      </c>
      <c r="C129" s="1">
        <v>-72</v>
      </c>
      <c r="D129" s="1">
        <f>B129-C129</f>
        <v>21</v>
      </c>
      <c r="E129" s="2">
        <v>39661</v>
      </c>
      <c r="F129" s="1">
        <v>5.7</v>
      </c>
      <c r="G129" s="1">
        <v>5.6</v>
      </c>
      <c r="H129" s="1">
        <f>F129-G129</f>
        <v>0.10000000000000053</v>
      </c>
      <c r="I129" s="2">
        <v>39674</v>
      </c>
      <c r="J129" s="1">
        <v>0.32664272523963667</v>
      </c>
      <c r="K129" s="1">
        <v>0.2</v>
      </c>
      <c r="L129" s="4">
        <f>J129-K129</f>
        <v>0.12664272523963666</v>
      </c>
      <c r="P129" s="4"/>
      <c r="Q129" s="2">
        <v>40920</v>
      </c>
      <c r="R129" s="4">
        <v>8.6442083803851405E-2</v>
      </c>
      <c r="S129" s="1">
        <v>0.3</v>
      </c>
      <c r="T129" s="4">
        <f>R129-S129</f>
        <v>-0.21355791619614858</v>
      </c>
      <c r="U129" s="2">
        <v>39693</v>
      </c>
      <c r="V129" s="1" t="s">
        <v>52</v>
      </c>
      <c r="W129" s="1" t="s">
        <v>52</v>
      </c>
      <c r="X129" s="1">
        <v>0</v>
      </c>
      <c r="Y129" s="2">
        <v>40261</v>
      </c>
      <c r="Z129" s="5">
        <v>0.51522248000000004</v>
      </c>
      <c r="AA129" s="1">
        <v>0.7</v>
      </c>
      <c r="AB129" s="1">
        <f>Z129-AA129</f>
        <v>-0.18477751999999992</v>
      </c>
      <c r="AC129" s="2">
        <v>40233</v>
      </c>
      <c r="AD129" s="5">
        <v>0.309</v>
      </c>
      <c r="AE129" s="6">
        <v>0.36</v>
      </c>
      <c r="AF129" s="7">
        <f>AD129-AE129</f>
        <v>-5.099999999999999E-2</v>
      </c>
      <c r="AG129" s="8">
        <v>39661</v>
      </c>
      <c r="AH129" s="6">
        <v>58.5</v>
      </c>
      <c r="AI129" s="1">
        <v>53</v>
      </c>
      <c r="AJ129" s="1">
        <f>AH129-AI129</f>
        <v>5.5</v>
      </c>
      <c r="AK129" s="2">
        <v>40669</v>
      </c>
      <c r="AL129" s="1">
        <v>0.13089005235601001</v>
      </c>
      <c r="AM129" s="1">
        <v>0.2</v>
      </c>
      <c r="AN129" s="4">
        <f>AL129-AM129</f>
        <v>-6.9109947643990005E-2</v>
      </c>
      <c r="AO129" s="2">
        <v>39674</v>
      </c>
      <c r="AP129" s="5">
        <v>0.81783600000000001</v>
      </c>
      <c r="AQ129" s="1">
        <v>0.4</v>
      </c>
      <c r="AR129" s="4">
        <f>AP129-AQ129</f>
        <v>0.41783599999999999</v>
      </c>
      <c r="AS129" s="2">
        <v>39672</v>
      </c>
      <c r="AT129" s="5">
        <v>-56.771999999999998</v>
      </c>
      <c r="AU129" s="1">
        <v>-61.5</v>
      </c>
      <c r="AV129" s="4">
        <f>AT129-AU129</f>
        <v>4.7280000000000015</v>
      </c>
      <c r="AW129" s="9">
        <v>39675</v>
      </c>
      <c r="AX129" s="4">
        <v>0.22591670564872199</v>
      </c>
      <c r="AY129" s="6">
        <v>0</v>
      </c>
      <c r="AZ129" s="4">
        <f>AX129-AY129</f>
        <v>0.22591670564872199</v>
      </c>
    </row>
    <row r="130" spans="1:52" s="1" customFormat="1" x14ac:dyDescent="0.2">
      <c r="A130" s="2">
        <v>39696</v>
      </c>
      <c r="B130" s="1">
        <v>-84</v>
      </c>
      <c r="C130" s="1">
        <v>-75</v>
      </c>
      <c r="D130" s="1">
        <f>B130-C130</f>
        <v>-9</v>
      </c>
      <c r="E130" s="2">
        <v>39696</v>
      </c>
      <c r="F130" s="1">
        <v>6.1</v>
      </c>
      <c r="G130" s="1">
        <v>5.8</v>
      </c>
      <c r="H130" s="1">
        <f>F130-G130</f>
        <v>0.29999999999999982</v>
      </c>
      <c r="I130" s="2">
        <v>39707</v>
      </c>
      <c r="J130" s="1">
        <v>0.19423761735190118</v>
      </c>
      <c r="K130" s="1">
        <v>0.2</v>
      </c>
      <c r="L130" s="4">
        <f>J130-K130</f>
        <v>-5.7623826480988349E-3</v>
      </c>
      <c r="P130" s="4"/>
      <c r="Q130" s="2">
        <v>40953</v>
      </c>
      <c r="R130" s="4">
        <v>0.382875391690778</v>
      </c>
      <c r="S130" s="1">
        <v>0.7</v>
      </c>
      <c r="T130" s="4">
        <f>R130-S130</f>
        <v>-0.31712460830922196</v>
      </c>
      <c r="U130" s="2">
        <v>39722</v>
      </c>
      <c r="V130" s="1" t="s">
        <v>52</v>
      </c>
      <c r="W130" s="1" t="s">
        <v>52</v>
      </c>
      <c r="X130" s="1">
        <v>-6</v>
      </c>
      <c r="Y130" s="2">
        <v>40291</v>
      </c>
      <c r="Z130" s="5">
        <v>-1.2552325</v>
      </c>
      <c r="AA130" s="1">
        <v>0.3</v>
      </c>
      <c r="AB130" s="1">
        <f>Z130-AA130</f>
        <v>-1.5552325</v>
      </c>
      <c r="AC130" s="2">
        <v>40261</v>
      </c>
      <c r="AD130" s="5">
        <v>0.308</v>
      </c>
      <c r="AE130" s="6">
        <v>0.32</v>
      </c>
      <c r="AF130" s="7">
        <f>AD130-AE130</f>
        <v>-1.2000000000000011E-2</v>
      </c>
      <c r="AG130" s="8">
        <v>39693</v>
      </c>
      <c r="AH130" s="6">
        <v>61.4</v>
      </c>
      <c r="AI130" s="1">
        <v>55.5</v>
      </c>
      <c r="AJ130" s="1">
        <f>AH130-AI130</f>
        <v>5.8999999999999986</v>
      </c>
      <c r="AK130" s="2">
        <v>40697</v>
      </c>
      <c r="AL130" s="1">
        <v>0.261780104712036</v>
      </c>
      <c r="AM130" s="1">
        <v>0.2</v>
      </c>
      <c r="AN130" s="4">
        <f>AL130-AM130</f>
        <v>6.1780104712035988E-2</v>
      </c>
      <c r="AO130" s="2">
        <v>39707</v>
      </c>
      <c r="AP130" s="5">
        <v>-0.13732939999999999</v>
      </c>
      <c r="AQ130" s="1">
        <v>-0.1</v>
      </c>
      <c r="AR130" s="4">
        <f>AP130-AQ130</f>
        <v>-3.7329399999999985E-2</v>
      </c>
      <c r="AS130" s="2">
        <v>39702</v>
      </c>
      <c r="AT130" s="5">
        <v>-62.198</v>
      </c>
      <c r="AU130" s="1">
        <v>-58</v>
      </c>
      <c r="AV130" s="4">
        <f>AT130-AU130</f>
        <v>-4.1980000000000004</v>
      </c>
      <c r="AW130" s="9">
        <v>39706</v>
      </c>
      <c r="AX130" s="4">
        <v>-1.1371122350480101</v>
      </c>
      <c r="AY130" s="6">
        <v>-0.3</v>
      </c>
      <c r="AZ130" s="4">
        <f>AX130-AY130</f>
        <v>-0.83711223504801002</v>
      </c>
    </row>
    <row r="131" spans="1:52" s="1" customFormat="1" x14ac:dyDescent="0.2">
      <c r="A131" s="2">
        <v>39724</v>
      </c>
      <c r="B131" s="1">
        <v>-159</v>
      </c>
      <c r="C131" s="1">
        <v>-100</v>
      </c>
      <c r="D131" s="1">
        <f>B131-C131</f>
        <v>-59</v>
      </c>
      <c r="E131" s="2">
        <v>39724</v>
      </c>
      <c r="F131" s="1">
        <v>6.1</v>
      </c>
      <c r="G131" s="1">
        <v>6.1</v>
      </c>
      <c r="H131" s="1">
        <f>F131-G131</f>
        <v>0</v>
      </c>
      <c r="I131" s="2">
        <v>39737</v>
      </c>
      <c r="J131" s="1">
        <v>0.14124163397183623</v>
      </c>
      <c r="K131" s="1">
        <v>0.2</v>
      </c>
      <c r="L131" s="4">
        <f>J131-K131</f>
        <v>-5.8758366028163783E-2</v>
      </c>
      <c r="P131" s="4"/>
      <c r="Q131" s="2">
        <v>40981</v>
      </c>
      <c r="R131" s="4">
        <v>1.0649107328727001</v>
      </c>
      <c r="S131" s="1">
        <v>1</v>
      </c>
      <c r="T131" s="4">
        <f>R131-S131</f>
        <v>6.4910732872700105E-2</v>
      </c>
      <c r="U131" s="2">
        <v>39755</v>
      </c>
      <c r="V131" s="1" t="s">
        <v>52</v>
      </c>
      <c r="W131" s="1" t="s">
        <v>52</v>
      </c>
      <c r="X131" s="1">
        <v>-2.6</v>
      </c>
      <c r="Y131" s="2">
        <v>40324</v>
      </c>
      <c r="Z131" s="5">
        <v>2.9490161100000001</v>
      </c>
      <c r="AA131" s="1">
        <v>1.3</v>
      </c>
      <c r="AB131" s="1">
        <f>Z131-AA131</f>
        <v>1.64901611</v>
      </c>
      <c r="AC131" s="2">
        <v>40291</v>
      </c>
      <c r="AD131" s="5">
        <v>0.41099999999999998</v>
      </c>
      <c r="AE131" s="6">
        <v>0.33</v>
      </c>
      <c r="AF131" s="7">
        <f>AD131-AE131</f>
        <v>8.0999999999999961E-2</v>
      </c>
      <c r="AG131" s="8">
        <v>39722</v>
      </c>
      <c r="AH131" s="6">
        <v>38.799999999999997</v>
      </c>
      <c r="AI131" s="1">
        <v>52</v>
      </c>
      <c r="AJ131" s="1">
        <f>AH131-AI131</f>
        <v>-13.200000000000003</v>
      </c>
      <c r="AK131" s="2">
        <v>40732</v>
      </c>
      <c r="AL131" s="1">
        <v>-4.3478260869572002E-2</v>
      </c>
      <c r="AM131" s="1">
        <v>0.2</v>
      </c>
      <c r="AN131" s="4">
        <f>AL131-AM131</f>
        <v>-0.24347826086957203</v>
      </c>
      <c r="AO131" s="2">
        <v>39737</v>
      </c>
      <c r="AP131" s="5">
        <v>-3.0610399999999999E-2</v>
      </c>
      <c r="AQ131" s="1">
        <v>0.1</v>
      </c>
      <c r="AR131" s="4">
        <f>AP131-AQ131</f>
        <v>-0.13061040000000002</v>
      </c>
      <c r="AS131" s="2">
        <v>39731</v>
      </c>
      <c r="AT131" s="5">
        <v>-59.137999999999998</v>
      </c>
      <c r="AU131" s="1">
        <v>-59</v>
      </c>
      <c r="AV131" s="4">
        <f>AT131-AU131</f>
        <v>-0.13799999999999812</v>
      </c>
      <c r="AW131" s="9">
        <v>39737</v>
      </c>
      <c r="AX131" s="4">
        <v>-2.8146897027282298</v>
      </c>
      <c r="AY131" s="6">
        <v>-0.8</v>
      </c>
      <c r="AZ131" s="4">
        <f>AX131-AY131</f>
        <v>-2.01468970272823</v>
      </c>
    </row>
    <row r="132" spans="1:52" s="1" customFormat="1" x14ac:dyDescent="0.2">
      <c r="A132" s="2">
        <v>39759</v>
      </c>
      <c r="B132" s="1">
        <v>-240</v>
      </c>
      <c r="C132" s="1">
        <v>-200</v>
      </c>
      <c r="D132" s="1">
        <f>B132-C132</f>
        <v>-40</v>
      </c>
      <c r="E132" s="2">
        <v>39759</v>
      </c>
      <c r="F132" s="1">
        <v>6.5</v>
      </c>
      <c r="G132" s="1">
        <v>6.3</v>
      </c>
      <c r="H132" s="1">
        <f>F132-G132</f>
        <v>0.20000000000000018</v>
      </c>
      <c r="I132" s="2">
        <v>39771</v>
      </c>
      <c r="J132" s="1">
        <v>-7.1443057578495714E-2</v>
      </c>
      <c r="K132" s="1">
        <v>0.1</v>
      </c>
      <c r="L132" s="4">
        <f>J132-K132</f>
        <v>-0.17144305757849571</v>
      </c>
      <c r="P132" s="4"/>
      <c r="Q132" s="2">
        <v>41015</v>
      </c>
      <c r="R132" s="4">
        <v>0.78382433704691601</v>
      </c>
      <c r="S132" s="1">
        <v>0.4</v>
      </c>
      <c r="T132" s="4">
        <f>R132-S132</f>
        <v>0.38382433704691599</v>
      </c>
      <c r="U132" s="2">
        <v>39783</v>
      </c>
      <c r="V132" s="1" t="s">
        <v>52</v>
      </c>
      <c r="W132" s="1" t="s">
        <v>52</v>
      </c>
      <c r="X132" s="1">
        <v>-0.8</v>
      </c>
      <c r="Y132" s="2">
        <v>40353</v>
      </c>
      <c r="Z132" s="5">
        <v>-1.1160036</v>
      </c>
      <c r="AA132" s="1">
        <v>-1.4</v>
      </c>
      <c r="AB132" s="1">
        <f>Z132-AA132</f>
        <v>0.28399639999999993</v>
      </c>
      <c r="AC132" s="2">
        <v>40324</v>
      </c>
      <c r="AD132" s="5">
        <v>0.504</v>
      </c>
      <c r="AE132" s="6">
        <v>0.42</v>
      </c>
      <c r="AF132" s="7">
        <f>AD132-AE132</f>
        <v>8.4000000000000019E-2</v>
      </c>
      <c r="AG132" s="8">
        <v>39755</v>
      </c>
      <c r="AH132" s="6">
        <v>44.7</v>
      </c>
      <c r="AI132" s="1">
        <v>37.9</v>
      </c>
      <c r="AJ132" s="1">
        <f>AH132-AI132</f>
        <v>6.8000000000000043</v>
      </c>
      <c r="AK132" s="2">
        <v>40760</v>
      </c>
      <c r="AL132" s="1">
        <v>0.43421623968735501</v>
      </c>
      <c r="AM132" s="1">
        <v>0.2</v>
      </c>
      <c r="AN132" s="4">
        <f>AL132-AM132</f>
        <v>0.234216239687355</v>
      </c>
      <c r="AO132" s="2">
        <v>39771</v>
      </c>
      <c r="AP132" s="5">
        <v>-0.96109460000000002</v>
      </c>
      <c r="AQ132" s="1">
        <v>-0.8</v>
      </c>
      <c r="AR132" s="4">
        <f>AP132-AQ132</f>
        <v>-0.16109459999999998</v>
      </c>
      <c r="AS132" s="2">
        <v>39765</v>
      </c>
      <c r="AT132" s="5">
        <v>-56.47</v>
      </c>
      <c r="AU132" s="1">
        <v>-57</v>
      </c>
      <c r="AV132" s="4">
        <f>AT132-AU132</f>
        <v>0.53000000000000114</v>
      </c>
      <c r="AW132" s="9">
        <v>39769</v>
      </c>
      <c r="AX132" s="4">
        <v>1.2644201091501399</v>
      </c>
      <c r="AY132" s="6">
        <v>0.2</v>
      </c>
      <c r="AZ132" s="4">
        <f>AX132-AY132</f>
        <v>1.06442010915014</v>
      </c>
    </row>
    <row r="133" spans="1:52" s="1" customFormat="1" x14ac:dyDescent="0.2">
      <c r="A133" s="2">
        <v>39787</v>
      </c>
      <c r="B133" s="1">
        <v>-533</v>
      </c>
      <c r="C133" s="1">
        <v>-340</v>
      </c>
      <c r="D133" s="1">
        <f>B133-C133</f>
        <v>-193</v>
      </c>
      <c r="E133" s="2">
        <v>39787</v>
      </c>
      <c r="F133" s="1">
        <v>6.7</v>
      </c>
      <c r="G133" s="1">
        <v>6.8</v>
      </c>
      <c r="H133" s="1">
        <f>F133-G133</f>
        <v>-9.9999999999999645E-2</v>
      </c>
      <c r="I133" s="2">
        <v>39798</v>
      </c>
      <c r="J133" s="1">
        <v>2.2140119279893462E-2</v>
      </c>
      <c r="K133" s="1">
        <v>0.1</v>
      </c>
      <c r="L133" s="4">
        <f>J133-K133</f>
        <v>-7.785988072010655E-2</v>
      </c>
      <c r="P133" s="4"/>
      <c r="Q133" s="2">
        <v>41044</v>
      </c>
      <c r="R133" s="4">
        <v>0.14554075877539599</v>
      </c>
      <c r="S133" s="1">
        <v>0.2</v>
      </c>
      <c r="T133" s="4">
        <f>R133-S133</f>
        <v>-5.4459241224604021E-2</v>
      </c>
      <c r="U133" s="2">
        <v>39815</v>
      </c>
      <c r="V133" s="1" t="s">
        <v>52</v>
      </c>
      <c r="W133" s="1" t="s">
        <v>52</v>
      </c>
      <c r="X133" s="1">
        <v>-3.1</v>
      </c>
      <c r="Y133" s="2">
        <v>40387</v>
      </c>
      <c r="Z133" s="5">
        <v>-1.0210178999999999</v>
      </c>
      <c r="AA133" s="1">
        <v>1</v>
      </c>
      <c r="AB133" s="1">
        <f>Z133-AA133</f>
        <v>-2.0210178999999999</v>
      </c>
      <c r="AC133" s="2">
        <v>40352</v>
      </c>
      <c r="AD133" s="5">
        <v>0.3</v>
      </c>
      <c r="AE133" s="6">
        <v>0.41</v>
      </c>
      <c r="AF133" s="7">
        <f>AD133-AE133</f>
        <v>-0.10999999999999999</v>
      </c>
      <c r="AG133" s="8">
        <v>39783</v>
      </c>
      <c r="AH133" s="6">
        <v>38.6</v>
      </c>
      <c r="AI133" s="1">
        <v>45</v>
      </c>
      <c r="AJ133" s="1">
        <f>AH133-AI133</f>
        <v>-6.3999999999999986</v>
      </c>
      <c r="AK133" s="2">
        <v>40788</v>
      </c>
      <c r="AL133" s="1">
        <v>-0.12975778546713199</v>
      </c>
      <c r="AM133" s="1">
        <v>0.2</v>
      </c>
      <c r="AN133" s="4">
        <f>AL133-AM133</f>
        <v>-0.32975778546713197</v>
      </c>
      <c r="AO133" s="2">
        <v>39798</v>
      </c>
      <c r="AP133" s="5">
        <v>-1.6842785</v>
      </c>
      <c r="AQ133" s="1">
        <v>-1.2</v>
      </c>
      <c r="AR133" s="4">
        <f>AP133-AQ133</f>
        <v>-0.48427850000000006</v>
      </c>
      <c r="AS133" s="2">
        <v>39793</v>
      </c>
      <c r="AT133" s="5">
        <v>-57.19</v>
      </c>
      <c r="AU133" s="1">
        <v>-53.5</v>
      </c>
      <c r="AV133" s="4">
        <f>AT133-AU133</f>
        <v>-3.6899999999999977</v>
      </c>
      <c r="AW133" s="9">
        <v>39797</v>
      </c>
      <c r="AX133" s="4">
        <v>-0.61931885227938599</v>
      </c>
      <c r="AY133" s="6">
        <v>-0.7</v>
      </c>
      <c r="AZ133" s="4">
        <f>AX133-AY133</f>
        <v>8.0681147720613966E-2</v>
      </c>
    </row>
    <row r="134" spans="1:52" s="1" customFormat="1" x14ac:dyDescent="0.2">
      <c r="A134" s="2">
        <v>39822</v>
      </c>
      <c r="B134" s="1">
        <v>-524</v>
      </c>
      <c r="C134" s="1">
        <v>-500</v>
      </c>
      <c r="D134" s="1">
        <f>B134-C134</f>
        <v>-24</v>
      </c>
      <c r="E134" s="2">
        <v>39822</v>
      </c>
      <c r="F134" s="1">
        <v>7.2</v>
      </c>
      <c r="G134" s="1">
        <v>7</v>
      </c>
      <c r="H134" s="1">
        <f>F134-G134</f>
        <v>0.20000000000000018</v>
      </c>
      <c r="I134" s="2">
        <v>39829</v>
      </c>
      <c r="J134" s="1">
        <v>-1.5217962729819847E-2</v>
      </c>
      <c r="K134" s="1">
        <v>0.1</v>
      </c>
      <c r="L134" s="4">
        <f>J134-K134</f>
        <v>-0.11521796272981985</v>
      </c>
      <c r="P134" s="4"/>
      <c r="Q134" s="2">
        <v>41073</v>
      </c>
      <c r="R134" s="4">
        <v>-0.170496463000293</v>
      </c>
      <c r="S134" s="1">
        <v>-0.2</v>
      </c>
      <c r="T134" s="4">
        <f>R134-S134</f>
        <v>2.9503536999707008E-2</v>
      </c>
      <c r="U134" s="2">
        <v>39846</v>
      </c>
      <c r="V134" s="1" t="s">
        <v>52</v>
      </c>
      <c r="W134" s="1" t="s">
        <v>52</v>
      </c>
      <c r="X134" s="1">
        <v>3</v>
      </c>
      <c r="Y134" s="2">
        <v>40415</v>
      </c>
      <c r="Z134" s="5">
        <v>0.2951416</v>
      </c>
      <c r="AA134" s="1">
        <v>2.8</v>
      </c>
      <c r="AB134" s="1">
        <f>Z134-AA134</f>
        <v>-2.5048583999999998</v>
      </c>
      <c r="AC134" s="2">
        <v>40385</v>
      </c>
      <c r="AD134" s="5">
        <v>0.33</v>
      </c>
      <c r="AE134" s="6">
        <v>0.32</v>
      </c>
      <c r="AF134" s="7">
        <f>AD134-AE134</f>
        <v>1.0000000000000009E-2</v>
      </c>
      <c r="AG134" s="8">
        <v>39840</v>
      </c>
      <c r="AH134" s="6">
        <v>37.4</v>
      </c>
      <c r="AI134" s="1">
        <v>39</v>
      </c>
      <c r="AJ134" s="1">
        <f>AH134-AI134</f>
        <v>-1.6000000000000014</v>
      </c>
      <c r="AK134" s="2">
        <v>40823</v>
      </c>
      <c r="AL134" s="1">
        <v>0.17331022530330401</v>
      </c>
      <c r="AM134" s="1">
        <v>0.2</v>
      </c>
      <c r="AN134" s="4">
        <f>AL134-AM134</f>
        <v>-2.6689774696696006E-2</v>
      </c>
      <c r="AO134" s="2">
        <v>39829</v>
      </c>
      <c r="AP134" s="5">
        <v>-0.73688160000000003</v>
      </c>
      <c r="AQ134" s="1">
        <v>-0.9</v>
      </c>
      <c r="AR134" s="4">
        <f>AP134-AQ134</f>
        <v>0.1631184</v>
      </c>
      <c r="AS134" s="2">
        <v>39826</v>
      </c>
      <c r="AT134" s="5">
        <v>-40.442</v>
      </c>
      <c r="AU134" s="1">
        <v>-51.3</v>
      </c>
      <c r="AV134" s="4">
        <f>AT134-AU134</f>
        <v>10.857999999999997</v>
      </c>
      <c r="AW134" s="9">
        <v>39829</v>
      </c>
      <c r="AX134" s="4">
        <v>-2.0013754312412102</v>
      </c>
      <c r="AY134" s="6">
        <v>-1</v>
      </c>
      <c r="AZ134" s="4">
        <f>AX134-AY134</f>
        <v>-1.0013754312412102</v>
      </c>
    </row>
    <row r="135" spans="1:52" s="1" customFormat="1" x14ac:dyDescent="0.2">
      <c r="A135" s="2">
        <v>39850</v>
      </c>
      <c r="B135" s="1">
        <v>-598</v>
      </c>
      <c r="C135" s="1">
        <v>-525</v>
      </c>
      <c r="D135" s="1">
        <f>B135-C135</f>
        <v>-73</v>
      </c>
      <c r="E135" s="2">
        <v>39850</v>
      </c>
      <c r="F135" s="1">
        <v>7.6</v>
      </c>
      <c r="G135" s="1">
        <v>7.5</v>
      </c>
      <c r="H135" s="1">
        <f>F135-G135</f>
        <v>9.9999999999999645E-2</v>
      </c>
      <c r="I135" s="2">
        <v>39864</v>
      </c>
      <c r="J135" s="1">
        <v>0.20708803778318199</v>
      </c>
      <c r="K135" s="1">
        <v>0.1</v>
      </c>
      <c r="L135" s="4">
        <f>J135-K135</f>
        <v>0.10708803778318199</v>
      </c>
      <c r="P135" s="4"/>
      <c r="Q135" s="2">
        <v>41106</v>
      </c>
      <c r="R135" s="4">
        <v>-0.47837995265773497</v>
      </c>
      <c r="S135" s="1">
        <v>0.2</v>
      </c>
      <c r="T135" s="4">
        <f>R135-S135</f>
        <v>-0.67837995265773499</v>
      </c>
      <c r="U135" s="2">
        <v>39874</v>
      </c>
      <c r="V135" s="1" t="s">
        <v>52</v>
      </c>
      <c r="W135" s="1" t="s">
        <v>52</v>
      </c>
      <c r="X135" s="1">
        <v>2</v>
      </c>
      <c r="Y135" s="2">
        <v>40445</v>
      </c>
      <c r="Z135" s="5">
        <v>-1.2857320000000001</v>
      </c>
      <c r="AA135" s="1">
        <v>-1</v>
      </c>
      <c r="AB135" s="1">
        <f>Z135-AA135</f>
        <v>-0.2857320000000001</v>
      </c>
      <c r="AC135" s="2">
        <v>40415</v>
      </c>
      <c r="AD135" s="5">
        <v>0.27600000000000002</v>
      </c>
      <c r="AE135" s="6">
        <v>0.33</v>
      </c>
      <c r="AF135" s="7">
        <f>AD135-AE135</f>
        <v>-5.3999999999999992E-2</v>
      </c>
      <c r="AG135" s="8">
        <v>39868</v>
      </c>
      <c r="AH135" s="6">
        <v>25.3</v>
      </c>
      <c r="AI135" s="1">
        <v>35.5</v>
      </c>
      <c r="AJ135" s="1">
        <f>AH135-AI135</f>
        <v>-10.199999999999999</v>
      </c>
      <c r="AK135" s="2">
        <v>40851</v>
      </c>
      <c r="AL135" s="1">
        <v>0.21607605877269101</v>
      </c>
      <c r="AM135" s="1">
        <v>0.2</v>
      </c>
      <c r="AN135" s="4">
        <f>AL135-AM135</f>
        <v>1.6076058772690999E-2</v>
      </c>
      <c r="AO135" s="2">
        <v>39864</v>
      </c>
      <c r="AP135" s="5">
        <v>0.28216678000000001</v>
      </c>
      <c r="AQ135" s="1">
        <v>0.3</v>
      </c>
      <c r="AR135" s="4">
        <f>AP135-AQ135</f>
        <v>-1.7833219999999983E-2</v>
      </c>
      <c r="AS135" s="2">
        <v>39855</v>
      </c>
      <c r="AT135" s="5">
        <v>-39.929000000000002</v>
      </c>
      <c r="AU135" s="1">
        <v>-36</v>
      </c>
      <c r="AV135" s="4">
        <f>AT135-AU135</f>
        <v>-3.929000000000002</v>
      </c>
      <c r="AW135" s="9">
        <v>39862</v>
      </c>
      <c r="AX135" s="4">
        <v>-1.8226419152417701</v>
      </c>
      <c r="AY135" s="6">
        <v>-1.5</v>
      </c>
      <c r="AZ135" s="4">
        <f>AX135-AY135</f>
        <v>-0.32264191524177011</v>
      </c>
    </row>
    <row r="136" spans="1:52" s="1" customFormat="1" x14ac:dyDescent="0.2">
      <c r="A136" s="2">
        <v>39878</v>
      </c>
      <c r="B136" s="1">
        <v>-651</v>
      </c>
      <c r="C136" s="1">
        <v>-648</v>
      </c>
      <c r="D136" s="1">
        <f>B136-C136</f>
        <v>-3</v>
      </c>
      <c r="E136" s="2">
        <v>39878</v>
      </c>
      <c r="F136" s="1">
        <v>8.1</v>
      </c>
      <c r="G136" s="1">
        <v>7.9</v>
      </c>
      <c r="H136" s="1">
        <f>F136-G136</f>
        <v>0.19999999999999929</v>
      </c>
      <c r="I136" s="2">
        <v>39890</v>
      </c>
      <c r="J136" s="1">
        <v>0.18640830322417379</v>
      </c>
      <c r="K136" s="1">
        <v>0.1</v>
      </c>
      <c r="L136" s="4">
        <f>J136-K136</f>
        <v>8.6408303224173783E-2</v>
      </c>
      <c r="P136" s="4"/>
      <c r="Q136" s="2">
        <v>41135</v>
      </c>
      <c r="R136" s="4">
        <v>0.81036832201097098</v>
      </c>
      <c r="S136" s="1">
        <v>0.3</v>
      </c>
      <c r="T136" s="4">
        <f>R136-S136</f>
        <v>0.51036832201097093</v>
      </c>
      <c r="U136" s="2">
        <v>39904</v>
      </c>
      <c r="V136" s="1" t="s">
        <v>52</v>
      </c>
      <c r="W136" s="1" t="s">
        <v>52</v>
      </c>
      <c r="X136" s="1">
        <v>0.3</v>
      </c>
      <c r="Y136" s="2">
        <v>40478</v>
      </c>
      <c r="Z136" s="5">
        <v>3.2715223500000001</v>
      </c>
      <c r="AA136" s="1">
        <v>2</v>
      </c>
      <c r="AB136" s="1">
        <f>Z136-AA136</f>
        <v>1.2715223500000001</v>
      </c>
      <c r="AC136" s="2">
        <v>40445</v>
      </c>
      <c r="AD136" s="5">
        <v>0.28799999999999998</v>
      </c>
      <c r="AE136" s="6">
        <v>0.28999999999999998</v>
      </c>
      <c r="AF136" s="7">
        <f>AD136-AE136</f>
        <v>-2.0000000000000018E-3</v>
      </c>
      <c r="AG136" s="8">
        <v>39903</v>
      </c>
      <c r="AH136" s="6">
        <v>26.9</v>
      </c>
      <c r="AI136" s="1">
        <v>28</v>
      </c>
      <c r="AJ136" s="1">
        <f>AH136-AI136</f>
        <v>-1.1000000000000014</v>
      </c>
      <c r="AK136" s="2">
        <v>40879</v>
      </c>
      <c r="AL136" s="1">
        <v>-8.6206896551722298E-2</v>
      </c>
      <c r="AM136" s="1">
        <v>0.2</v>
      </c>
      <c r="AN136" s="4">
        <f>AL136-AM136</f>
        <v>-0.28620689655172232</v>
      </c>
      <c r="AO136" s="2">
        <v>39890</v>
      </c>
      <c r="AP136" s="5">
        <v>0.39260230000000002</v>
      </c>
      <c r="AQ136" s="1">
        <v>0.3</v>
      </c>
      <c r="AR136" s="4">
        <f>AP136-AQ136</f>
        <v>9.2602300000000026E-2</v>
      </c>
      <c r="AS136" s="2">
        <v>39885</v>
      </c>
      <c r="AT136" s="5">
        <v>-36.03</v>
      </c>
      <c r="AU136" s="1">
        <v>-38</v>
      </c>
      <c r="AV136" s="4">
        <f>AT136-AU136</f>
        <v>1.9699999999999989</v>
      </c>
      <c r="AW136" s="9">
        <v>39888</v>
      </c>
      <c r="AX136" s="4">
        <v>-1.44828717510875</v>
      </c>
      <c r="AY136" s="6">
        <v>-1.1000000000000001</v>
      </c>
      <c r="AZ136" s="4">
        <f>AX136-AY136</f>
        <v>-0.34828717510874996</v>
      </c>
    </row>
    <row r="137" spans="1:52" s="1" customFormat="1" x14ac:dyDescent="0.2">
      <c r="A137" s="2">
        <v>39906</v>
      </c>
      <c r="B137" s="1">
        <v>-663</v>
      </c>
      <c r="C137" s="1">
        <v>-650</v>
      </c>
      <c r="D137" s="1">
        <f>B137-C137</f>
        <v>-13</v>
      </c>
      <c r="E137" s="2">
        <v>39906</v>
      </c>
      <c r="F137" s="1">
        <v>8.5</v>
      </c>
      <c r="G137" s="1">
        <v>8.5</v>
      </c>
      <c r="H137" s="1">
        <f>F137-G137</f>
        <v>0</v>
      </c>
      <c r="I137" s="2">
        <v>39918</v>
      </c>
      <c r="J137" s="1">
        <v>0.17090090503974553</v>
      </c>
      <c r="K137" s="1">
        <v>0.1</v>
      </c>
      <c r="L137" s="4">
        <f>J137-K137</f>
        <v>7.0900905039745526E-2</v>
      </c>
      <c r="P137" s="4"/>
      <c r="Q137" s="2">
        <v>41166</v>
      </c>
      <c r="R137" s="4">
        <v>0.88596543445046305</v>
      </c>
      <c r="S137" s="1">
        <v>0.7</v>
      </c>
      <c r="T137" s="4">
        <f>R137-S137</f>
        <v>0.1859654344504631</v>
      </c>
      <c r="U137" s="2">
        <v>39934</v>
      </c>
      <c r="V137" s="1" t="s">
        <v>52</v>
      </c>
      <c r="W137" s="1" t="s">
        <v>52</v>
      </c>
      <c r="X137" s="1">
        <v>2.1</v>
      </c>
      <c r="Y137" s="2">
        <v>40506</v>
      </c>
      <c r="Z137" s="5">
        <v>-3.3485014999999998</v>
      </c>
      <c r="AA137" s="1">
        <v>0</v>
      </c>
      <c r="AB137" s="1">
        <f>Z137-AA137</f>
        <v>-3.3485014999999998</v>
      </c>
      <c r="AC137" s="2">
        <v>40478</v>
      </c>
      <c r="AD137" s="5">
        <v>0.307</v>
      </c>
      <c r="AE137" s="6">
        <v>0.3</v>
      </c>
      <c r="AF137" s="7">
        <f>AD137-AE137</f>
        <v>7.0000000000000062E-3</v>
      </c>
      <c r="AG137" s="8">
        <v>39931</v>
      </c>
      <c r="AH137" s="6">
        <v>40.799999999999997</v>
      </c>
      <c r="AI137" s="1">
        <v>29.8</v>
      </c>
      <c r="AJ137" s="1">
        <f>AH137-AI137</f>
        <v>10.999999999999996</v>
      </c>
      <c r="AK137" s="2">
        <v>40914</v>
      </c>
      <c r="AL137" s="1">
        <v>0.17241379310344401</v>
      </c>
      <c r="AM137" s="1">
        <v>0.2</v>
      </c>
      <c r="AN137" s="4">
        <f>AL137-AM137</f>
        <v>-2.7586206896555998E-2</v>
      </c>
      <c r="AO137" s="2">
        <v>39918</v>
      </c>
      <c r="AP137" s="5">
        <v>-0.13755419999999999</v>
      </c>
      <c r="AQ137" s="1">
        <v>0.1</v>
      </c>
      <c r="AR137" s="4">
        <f>AP137-AQ137</f>
        <v>-0.23755419999999999</v>
      </c>
      <c r="AS137" s="2">
        <v>39912</v>
      </c>
      <c r="AT137" s="5">
        <v>-25.965</v>
      </c>
      <c r="AU137" s="1">
        <v>-36.4</v>
      </c>
      <c r="AV137" s="4">
        <f>AT137-AU137</f>
        <v>10.434999999999999</v>
      </c>
      <c r="AW137" s="9">
        <v>39918</v>
      </c>
      <c r="AX137" s="4">
        <v>-1.47969404480057</v>
      </c>
      <c r="AY137" s="6">
        <v>-1</v>
      </c>
      <c r="AZ137" s="4">
        <f>AX137-AY137</f>
        <v>-0.47969404480056999</v>
      </c>
    </row>
    <row r="138" spans="1:52" s="1" customFormat="1" x14ac:dyDescent="0.2">
      <c r="A138" s="2">
        <v>39941</v>
      </c>
      <c r="B138" s="1">
        <v>-539</v>
      </c>
      <c r="C138" s="1">
        <v>-620</v>
      </c>
      <c r="D138" s="1">
        <f>B138-C138</f>
        <v>81</v>
      </c>
      <c r="E138" s="2">
        <v>39941</v>
      </c>
      <c r="F138" s="1">
        <v>8.9</v>
      </c>
      <c r="G138" s="1">
        <v>8.9</v>
      </c>
      <c r="H138" s="1">
        <f>F138-G138</f>
        <v>0</v>
      </c>
      <c r="I138" s="2">
        <v>39948</v>
      </c>
      <c r="J138" s="1">
        <v>0.25316223479879679</v>
      </c>
      <c r="K138" s="1">
        <v>0.1</v>
      </c>
      <c r="L138" s="4">
        <f>J138-K138</f>
        <v>0.15316223479879679</v>
      </c>
      <c r="P138" s="4"/>
      <c r="Q138" s="2">
        <v>41197</v>
      </c>
      <c r="R138" s="4">
        <v>1.1485609308022</v>
      </c>
      <c r="S138" s="1">
        <v>0.8</v>
      </c>
      <c r="T138" s="4">
        <f>R138-S138</f>
        <v>0.34856093080219996</v>
      </c>
      <c r="U138" s="2">
        <v>39965</v>
      </c>
      <c r="V138" s="1" t="s">
        <v>52</v>
      </c>
      <c r="W138" s="1" t="s">
        <v>52</v>
      </c>
      <c r="X138" s="1">
        <v>0.8</v>
      </c>
      <c r="Y138" s="2">
        <v>40535</v>
      </c>
      <c r="Z138" s="5">
        <v>-1.3345013999999999</v>
      </c>
      <c r="AA138" s="1">
        <v>-0.5</v>
      </c>
      <c r="AB138" s="1">
        <f>Z138-AA138</f>
        <v>-0.83450139999999995</v>
      </c>
      <c r="AC138" s="2">
        <v>40506</v>
      </c>
      <c r="AD138" s="5">
        <v>0.28299999999999997</v>
      </c>
      <c r="AE138" s="6">
        <v>0.31</v>
      </c>
      <c r="AF138" s="7">
        <f>AD138-AE138</f>
        <v>-2.7000000000000024E-2</v>
      </c>
      <c r="AG138" s="8">
        <v>39959</v>
      </c>
      <c r="AH138" s="6">
        <v>54.8</v>
      </c>
      <c r="AI138" s="1">
        <v>42</v>
      </c>
      <c r="AJ138" s="1">
        <f>AH138-AI138</f>
        <v>12.799999999999997</v>
      </c>
      <c r="AK138" s="2">
        <v>40942</v>
      </c>
      <c r="AL138" s="1">
        <v>0.17204301075268399</v>
      </c>
      <c r="AM138" s="1">
        <v>0.2</v>
      </c>
      <c r="AN138" s="4">
        <f>AL138-AM138</f>
        <v>-2.7956989247316016E-2</v>
      </c>
      <c r="AO138" s="2">
        <v>39948</v>
      </c>
      <c r="AP138" s="5">
        <v>-2.0214900000000001E-2</v>
      </c>
      <c r="AQ138" s="1">
        <v>0</v>
      </c>
      <c r="AR138" s="4">
        <f>AP138-AQ138</f>
        <v>-2.0214900000000001E-2</v>
      </c>
      <c r="AS138" s="2">
        <v>39945</v>
      </c>
      <c r="AT138" s="5">
        <v>-27.577000000000002</v>
      </c>
      <c r="AU138" s="1">
        <v>-29</v>
      </c>
      <c r="AV138" s="4">
        <f>AT138-AU138</f>
        <v>1.4229999999999983</v>
      </c>
      <c r="AW138" s="9">
        <v>39948</v>
      </c>
      <c r="AX138" s="4">
        <v>-0.50428281656302998</v>
      </c>
      <c r="AY138" s="6">
        <v>-0.6</v>
      </c>
      <c r="AZ138" s="4">
        <f>AX138-AY138</f>
        <v>9.5717183436969999E-2</v>
      </c>
    </row>
    <row r="139" spans="1:52" s="1" customFormat="1" x14ac:dyDescent="0.2">
      <c r="A139" s="2">
        <v>39969</v>
      </c>
      <c r="B139" s="1">
        <v>-345</v>
      </c>
      <c r="C139" s="1">
        <v>-520</v>
      </c>
      <c r="D139" s="1">
        <f>B139-C139</f>
        <v>175</v>
      </c>
      <c r="E139" s="2">
        <v>39969</v>
      </c>
      <c r="F139" s="1">
        <v>9.4</v>
      </c>
      <c r="G139" s="1">
        <v>9.1999999999999993</v>
      </c>
      <c r="H139" s="1">
        <f>F139-G139</f>
        <v>0.20000000000000107</v>
      </c>
      <c r="I139" s="2">
        <v>39981</v>
      </c>
      <c r="J139" s="1">
        <v>0.14456023495612985</v>
      </c>
      <c r="K139" s="1">
        <v>0.1</v>
      </c>
      <c r="L139" s="4">
        <f>J139-K139</f>
        <v>4.4560234956129846E-2</v>
      </c>
      <c r="P139" s="4"/>
      <c r="Q139" s="2">
        <v>41227</v>
      </c>
      <c r="R139" s="4">
        <v>-0.30954128307041701</v>
      </c>
      <c r="S139" s="1">
        <v>-0.2</v>
      </c>
      <c r="T139" s="4">
        <f>R139-S139</f>
        <v>-0.10954128307041699</v>
      </c>
      <c r="U139" s="2">
        <v>39995</v>
      </c>
      <c r="V139" s="1" t="s">
        <v>52</v>
      </c>
      <c r="W139" s="1" t="s">
        <v>52</v>
      </c>
      <c r="X139" s="1">
        <v>0.3</v>
      </c>
      <c r="Y139" s="2">
        <v>40570</v>
      </c>
      <c r="Z139" s="5">
        <v>-2.5256262</v>
      </c>
      <c r="AA139" s="1">
        <v>1.5</v>
      </c>
      <c r="AB139" s="1">
        <f>Z139-AA139</f>
        <v>-4.0256261999999996</v>
      </c>
      <c r="AC139" s="2">
        <v>40535</v>
      </c>
      <c r="AD139" s="5">
        <v>0.28999999999999998</v>
      </c>
      <c r="AE139" s="6">
        <v>0.3</v>
      </c>
      <c r="AF139" s="7">
        <f>AD139-AE139</f>
        <v>-1.0000000000000009E-2</v>
      </c>
      <c r="AG139" s="8">
        <v>39994</v>
      </c>
      <c r="AH139" s="6">
        <v>49.3</v>
      </c>
      <c r="AI139" s="1">
        <v>55</v>
      </c>
      <c r="AJ139" s="1">
        <f>AH139-AI139</f>
        <v>-5.7000000000000028</v>
      </c>
      <c r="AK139" s="2">
        <v>40977</v>
      </c>
      <c r="AL139" s="1">
        <v>0.12886597938143199</v>
      </c>
      <c r="AM139" s="1">
        <v>0.2</v>
      </c>
      <c r="AN139" s="4">
        <f>AL139-AM139</f>
        <v>-7.1134020618568022E-2</v>
      </c>
      <c r="AO139" s="2">
        <v>39981</v>
      </c>
      <c r="AP139" s="5">
        <v>9.6393019999999996E-2</v>
      </c>
      <c r="AQ139" s="1">
        <v>0.3</v>
      </c>
      <c r="AR139" s="4">
        <f>AP139-AQ139</f>
        <v>-0.20360697999999999</v>
      </c>
      <c r="AS139" s="2">
        <v>39974</v>
      </c>
      <c r="AT139" s="5">
        <v>-29.163</v>
      </c>
      <c r="AU139" s="1">
        <v>-29</v>
      </c>
      <c r="AV139" s="4">
        <f>AT139-AU139</f>
        <v>-0.16300000000000026</v>
      </c>
      <c r="AW139" s="9">
        <v>39980</v>
      </c>
      <c r="AX139" s="4">
        <v>-1.1271726391892101</v>
      </c>
      <c r="AY139" s="6">
        <v>-0.9</v>
      </c>
      <c r="AZ139" s="4">
        <f>AX139-AY139</f>
        <v>-0.22717263918921005</v>
      </c>
    </row>
    <row r="140" spans="1:52" s="1" customFormat="1" x14ac:dyDescent="0.2">
      <c r="A140" s="2">
        <v>39996</v>
      </c>
      <c r="B140" s="1">
        <v>-467</v>
      </c>
      <c r="C140" s="1">
        <v>-363</v>
      </c>
      <c r="D140" s="1">
        <f>B140-C140</f>
        <v>-104</v>
      </c>
      <c r="E140" s="2">
        <v>39996</v>
      </c>
      <c r="F140" s="1">
        <v>9.5</v>
      </c>
      <c r="G140" s="1">
        <v>9.6</v>
      </c>
      <c r="H140" s="1">
        <f>F140-G140</f>
        <v>-9.9999999999999645E-2</v>
      </c>
      <c r="I140" s="2">
        <v>40009</v>
      </c>
      <c r="J140" s="1">
        <v>0.19825499063541979</v>
      </c>
      <c r="K140" s="1">
        <v>0.1</v>
      </c>
      <c r="L140" s="4">
        <f>J140-K140</f>
        <v>9.8254990635419787E-2</v>
      </c>
      <c r="P140" s="4"/>
      <c r="Q140" s="2">
        <v>41256</v>
      </c>
      <c r="R140" s="4">
        <v>0.266223851712098</v>
      </c>
      <c r="S140" s="1">
        <v>0.5</v>
      </c>
      <c r="T140" s="4">
        <f>R140-S140</f>
        <v>-0.233776148287902</v>
      </c>
      <c r="U140" s="2">
        <v>40028</v>
      </c>
      <c r="V140" s="1" t="s">
        <v>52</v>
      </c>
      <c r="W140" s="1" t="s">
        <v>52</v>
      </c>
      <c r="X140" s="1">
        <v>2.7</v>
      </c>
      <c r="Y140" s="2">
        <v>40598</v>
      </c>
      <c r="Z140" s="5">
        <v>2.7360839299999999</v>
      </c>
      <c r="AA140" s="1">
        <v>2.7</v>
      </c>
      <c r="AB140" s="1">
        <f>Z140-AA140</f>
        <v>3.6083929999999764E-2</v>
      </c>
      <c r="AC140" s="2">
        <v>40569</v>
      </c>
      <c r="AD140" s="5">
        <v>0.32900000000000001</v>
      </c>
      <c r="AE140" s="6">
        <v>0.3</v>
      </c>
      <c r="AF140" s="7">
        <f>AD140-AE140</f>
        <v>2.9000000000000026E-2</v>
      </c>
      <c r="AG140" s="8">
        <v>40022</v>
      </c>
      <c r="AH140" s="6">
        <v>47.4</v>
      </c>
      <c r="AI140" s="1">
        <v>49</v>
      </c>
      <c r="AJ140" s="1">
        <f>AH140-AI140</f>
        <v>-1.6000000000000014</v>
      </c>
      <c r="AK140" s="2">
        <v>41005</v>
      </c>
      <c r="AL140" s="1">
        <v>0.21422450728363601</v>
      </c>
      <c r="AM140" s="1">
        <v>0.2</v>
      </c>
      <c r="AN140" s="4">
        <f>AL140-AM140</f>
        <v>1.4224507283636001E-2</v>
      </c>
      <c r="AO140" s="2">
        <v>40009</v>
      </c>
      <c r="AP140" s="5">
        <v>0.74362539999999999</v>
      </c>
      <c r="AQ140" s="1">
        <v>0.6</v>
      </c>
      <c r="AR140" s="4">
        <f>AP140-AQ140</f>
        <v>0.14362540000000001</v>
      </c>
      <c r="AS140" s="2">
        <v>40004</v>
      </c>
      <c r="AT140" s="5">
        <v>-25.962</v>
      </c>
      <c r="AU140" s="1">
        <v>-30.2</v>
      </c>
      <c r="AV140" s="4">
        <f>AT140-AU140</f>
        <v>4.2379999999999995</v>
      </c>
      <c r="AW140" s="9">
        <v>40009</v>
      </c>
      <c r="AX140" s="4">
        <v>-0.39519748911249403</v>
      </c>
      <c r="AY140" s="6">
        <v>-0.6</v>
      </c>
      <c r="AZ140" s="4">
        <f>AX140-AY140</f>
        <v>0.20480251088750595</v>
      </c>
    </row>
    <row r="141" spans="1:52" s="1" customFormat="1" x14ac:dyDescent="0.2">
      <c r="A141" s="2">
        <v>40032</v>
      </c>
      <c r="B141" s="1">
        <v>-247</v>
      </c>
      <c r="C141" s="1">
        <v>-320</v>
      </c>
      <c r="D141" s="1">
        <f>B141-C141</f>
        <v>73</v>
      </c>
      <c r="E141" s="2">
        <v>40032</v>
      </c>
      <c r="F141" s="1">
        <v>9.4</v>
      </c>
      <c r="G141" s="1">
        <v>9.6</v>
      </c>
      <c r="H141" s="1">
        <f>F141-G141</f>
        <v>-0.19999999999999929</v>
      </c>
      <c r="I141" s="2">
        <v>40039</v>
      </c>
      <c r="J141" s="1">
        <v>9.0725071121166886E-2</v>
      </c>
      <c r="K141" s="1">
        <v>0.1</v>
      </c>
      <c r="L141" s="4">
        <f>J141-K141</f>
        <v>-9.2749288788331191E-3</v>
      </c>
      <c r="P141" s="4"/>
      <c r="Q141" s="2">
        <v>41289</v>
      </c>
      <c r="R141" s="4">
        <v>0.51090231199616998</v>
      </c>
      <c r="S141" s="1">
        <v>0.2</v>
      </c>
      <c r="T141" s="4">
        <f>R141-S141</f>
        <v>0.31090231199616997</v>
      </c>
      <c r="U141" s="2">
        <v>40057</v>
      </c>
      <c r="V141" s="1" t="s">
        <v>52</v>
      </c>
      <c r="W141" s="1" t="s">
        <v>52</v>
      </c>
      <c r="X141" s="1">
        <v>2.4</v>
      </c>
      <c r="Y141" s="2">
        <v>40626</v>
      </c>
      <c r="Z141" s="5">
        <v>-0.91802660000000003</v>
      </c>
      <c r="AA141" s="1">
        <v>1.1000000000000001</v>
      </c>
      <c r="AB141" s="1">
        <f>Z141-AA141</f>
        <v>-2.0180266000000002</v>
      </c>
      <c r="AC141" s="2">
        <v>40598</v>
      </c>
      <c r="AD141" s="5">
        <v>0.28399999999999997</v>
      </c>
      <c r="AE141" s="6">
        <v>0.31</v>
      </c>
      <c r="AF141" s="7">
        <f>AD141-AE141</f>
        <v>-2.6000000000000023E-2</v>
      </c>
      <c r="AG141" s="8">
        <v>40050</v>
      </c>
      <c r="AH141" s="6">
        <v>54.5</v>
      </c>
      <c r="AI141" s="1">
        <v>47.5</v>
      </c>
      <c r="AJ141" s="1">
        <f>AH141-AI141</f>
        <v>7</v>
      </c>
      <c r="AK141" s="2">
        <v>41033</v>
      </c>
      <c r="AL141" s="1">
        <v>4.2789901583217799E-2</v>
      </c>
      <c r="AM141" s="1">
        <v>0.2</v>
      </c>
      <c r="AN141" s="4">
        <f>AL141-AM141</f>
        <v>-0.15721009841678221</v>
      </c>
      <c r="AO141" s="2">
        <v>40039</v>
      </c>
      <c r="AP141" s="5">
        <v>4.6629000000000002E-3</v>
      </c>
      <c r="AQ141" s="1">
        <v>0</v>
      </c>
      <c r="AR141" s="4">
        <f>AP141-AQ141</f>
        <v>4.6629000000000002E-3</v>
      </c>
      <c r="AS141" s="2">
        <v>40037</v>
      </c>
      <c r="AT141" s="5">
        <v>-27.007999999999999</v>
      </c>
      <c r="AU141" s="1">
        <v>-28.5</v>
      </c>
      <c r="AV141" s="4">
        <f>AT141-AU141</f>
        <v>1.4920000000000009</v>
      </c>
      <c r="AW141" s="9">
        <v>40039</v>
      </c>
      <c r="AX141" s="4">
        <v>0.53825226201089604</v>
      </c>
      <c r="AY141" s="6">
        <v>0.3</v>
      </c>
      <c r="AZ141" s="4">
        <f>AX141-AY141</f>
        <v>0.23825226201089605</v>
      </c>
    </row>
    <row r="142" spans="1:52" s="1" customFormat="1" x14ac:dyDescent="0.2">
      <c r="A142" s="2">
        <v>40060</v>
      </c>
      <c r="B142" s="1">
        <v>-216</v>
      </c>
      <c r="C142" s="1">
        <v>-225</v>
      </c>
      <c r="D142" s="1">
        <f>B142-C142</f>
        <v>9</v>
      </c>
      <c r="E142" s="2">
        <v>40060</v>
      </c>
      <c r="F142" s="1">
        <v>9.6999999999999993</v>
      </c>
      <c r="G142" s="1">
        <v>9.5</v>
      </c>
      <c r="H142" s="1">
        <f>F142-G142</f>
        <v>0.19999999999999929</v>
      </c>
      <c r="I142" s="2">
        <v>40072</v>
      </c>
      <c r="J142" s="1">
        <v>6.7868253599523046E-2</v>
      </c>
      <c r="K142" s="1">
        <v>0.1</v>
      </c>
      <c r="L142" s="4">
        <f>J142-K142</f>
        <v>-3.213174640047696E-2</v>
      </c>
      <c r="P142" s="4"/>
      <c r="Q142" s="2">
        <v>41318</v>
      </c>
      <c r="R142" s="4">
        <v>0.12640979363481</v>
      </c>
      <c r="S142" s="1">
        <v>0.1</v>
      </c>
      <c r="T142" s="4">
        <f>R142-S142</f>
        <v>2.6409793634809997E-2</v>
      </c>
      <c r="U142" s="2">
        <v>40087</v>
      </c>
      <c r="V142" s="1" t="s">
        <v>52</v>
      </c>
      <c r="W142" s="1" t="s">
        <v>52</v>
      </c>
      <c r="X142" s="1">
        <v>-1.4</v>
      </c>
      <c r="Y142" s="2">
        <v>40660</v>
      </c>
      <c r="Z142" s="5">
        <v>2.4736650600000001</v>
      </c>
      <c r="AA142" s="1">
        <v>2</v>
      </c>
      <c r="AB142" s="1">
        <f>Z142-AA142</f>
        <v>0.47366506000000008</v>
      </c>
      <c r="AC142" s="2">
        <v>40625</v>
      </c>
      <c r="AD142" s="5">
        <v>0.25</v>
      </c>
      <c r="AE142" s="6">
        <v>0.28999999999999998</v>
      </c>
      <c r="AF142" s="7">
        <f>AD142-AE142</f>
        <v>-3.999999999999998E-2</v>
      </c>
      <c r="AG142" s="8">
        <v>40085</v>
      </c>
      <c r="AH142" s="6">
        <v>53.4</v>
      </c>
      <c r="AI142" s="1">
        <v>57</v>
      </c>
      <c r="AJ142" s="1">
        <f>AH142-AI142</f>
        <v>-3.6000000000000014</v>
      </c>
      <c r="AK142" s="2">
        <v>41061</v>
      </c>
      <c r="AL142" s="1">
        <v>8.5506626763572305E-2</v>
      </c>
      <c r="AM142" s="1">
        <v>0.2</v>
      </c>
      <c r="AN142" s="4">
        <f>AL142-AM142</f>
        <v>-0.11449337323642771</v>
      </c>
      <c r="AO142" s="2">
        <v>40072</v>
      </c>
      <c r="AP142" s="5">
        <v>0.44715086999999998</v>
      </c>
      <c r="AQ142" s="1">
        <v>0.3</v>
      </c>
      <c r="AR142" s="4">
        <f>AP142-AQ142</f>
        <v>0.14715086999999999</v>
      </c>
      <c r="AS142" s="2">
        <v>40066</v>
      </c>
      <c r="AT142" s="5">
        <v>-31.959</v>
      </c>
      <c r="AU142" s="1">
        <v>-27.4</v>
      </c>
      <c r="AV142" s="4">
        <f>AT142-AU142</f>
        <v>-4.5590000000000011</v>
      </c>
      <c r="AW142" s="9">
        <v>40072</v>
      </c>
      <c r="AX142" s="4">
        <v>0.77867975049979299</v>
      </c>
      <c r="AY142" s="6">
        <v>0.6</v>
      </c>
      <c r="AZ142" s="4">
        <f>AX142-AY142</f>
        <v>0.17867975049979301</v>
      </c>
    </row>
    <row r="143" spans="1:52" s="1" customFormat="1" x14ac:dyDescent="0.2">
      <c r="A143" s="2">
        <v>40088</v>
      </c>
      <c r="B143" s="1">
        <v>-263</v>
      </c>
      <c r="C143" s="1">
        <v>-180</v>
      </c>
      <c r="D143" s="1">
        <f>B143-C143</f>
        <v>-83</v>
      </c>
      <c r="E143" s="2">
        <v>40088</v>
      </c>
      <c r="F143" s="1">
        <v>9.8000000000000007</v>
      </c>
      <c r="G143" s="1">
        <v>9.8000000000000007</v>
      </c>
      <c r="H143" s="1">
        <f>F143-G143</f>
        <v>0</v>
      </c>
      <c r="I143" s="2">
        <v>40101</v>
      </c>
      <c r="J143" s="1">
        <v>0.16432095843271033</v>
      </c>
      <c r="K143" s="1">
        <v>0.1</v>
      </c>
      <c r="L143" s="4">
        <f>J143-K143</f>
        <v>6.4320958432710323E-2</v>
      </c>
      <c r="P143" s="4"/>
      <c r="Q143" s="2">
        <v>41346</v>
      </c>
      <c r="R143" s="4">
        <v>1.05733950454447</v>
      </c>
      <c r="S143" s="1">
        <v>0.5</v>
      </c>
      <c r="T143" s="4">
        <f>R143-S143</f>
        <v>0.55733950454447001</v>
      </c>
      <c r="U143" s="2">
        <v>40119</v>
      </c>
      <c r="V143" s="1" t="s">
        <v>52</v>
      </c>
      <c r="W143" s="1" t="s">
        <v>52</v>
      </c>
      <c r="X143" s="1">
        <v>2.7</v>
      </c>
      <c r="Y143" s="2">
        <v>40688</v>
      </c>
      <c r="Z143" s="5">
        <v>-3.6209706000000002</v>
      </c>
      <c r="AA143" s="1">
        <v>-2.2000000000000002</v>
      </c>
      <c r="AB143" s="1">
        <f>Z143-AA143</f>
        <v>-1.4209706</v>
      </c>
      <c r="AC143" s="2">
        <v>40658</v>
      </c>
      <c r="AD143" s="5">
        <v>0.3</v>
      </c>
      <c r="AE143" s="6">
        <v>0.28000000000000003</v>
      </c>
      <c r="AF143" s="7">
        <f>AD143-AE143</f>
        <v>1.9999999999999962E-2</v>
      </c>
      <c r="AG143" s="8">
        <v>40113</v>
      </c>
      <c r="AH143" s="6">
        <v>48.7</v>
      </c>
      <c r="AI143" s="1">
        <v>53.1</v>
      </c>
      <c r="AJ143" s="1">
        <f>AH143-AI143</f>
        <v>-4.3999999999999986</v>
      </c>
      <c r="AK143" s="2">
        <v>41096</v>
      </c>
      <c r="AL143" s="1">
        <v>0.25597269624572799</v>
      </c>
      <c r="AM143" s="1">
        <v>0.2</v>
      </c>
      <c r="AN143" s="4">
        <f>AL143-AM143</f>
        <v>5.5972696245727982E-2</v>
      </c>
      <c r="AO143" s="2">
        <v>40101</v>
      </c>
      <c r="AP143" s="5">
        <v>0.16850177</v>
      </c>
      <c r="AQ143" s="1">
        <v>0.2</v>
      </c>
      <c r="AR143" s="4">
        <f>AP143-AQ143</f>
        <v>-3.1498230000000016E-2</v>
      </c>
      <c r="AS143" s="2">
        <v>40095</v>
      </c>
      <c r="AT143" s="5">
        <v>-30.71</v>
      </c>
      <c r="AU143" s="1">
        <v>-33</v>
      </c>
      <c r="AV143" s="4">
        <f>AT143-AU143</f>
        <v>2.2899999999999991</v>
      </c>
      <c r="AW143" s="9">
        <v>40102</v>
      </c>
      <c r="AX143" s="4">
        <v>0.66134848024797899</v>
      </c>
      <c r="AY143" s="6">
        <v>0.2</v>
      </c>
      <c r="AZ143" s="4">
        <f>AX143-AY143</f>
        <v>0.46134848024797898</v>
      </c>
    </row>
    <row r="144" spans="1:52" s="1" customFormat="1" x14ac:dyDescent="0.2">
      <c r="A144" s="2">
        <v>40123</v>
      </c>
      <c r="B144" s="1">
        <v>-190</v>
      </c>
      <c r="C144" s="1">
        <v>-175</v>
      </c>
      <c r="D144" s="1">
        <f>B144-C144</f>
        <v>-15</v>
      </c>
      <c r="E144" s="2">
        <v>40123</v>
      </c>
      <c r="F144" s="1">
        <v>10.199999999999999</v>
      </c>
      <c r="G144" s="1">
        <v>9.9</v>
      </c>
      <c r="H144" s="1">
        <f>F144-G144</f>
        <v>0.29999999999999893</v>
      </c>
      <c r="I144" s="2">
        <v>40135</v>
      </c>
      <c r="J144" s="1">
        <v>0.1817743907149667</v>
      </c>
      <c r="K144" s="1">
        <v>0.1</v>
      </c>
      <c r="L144" s="4">
        <f>J144-K144</f>
        <v>8.1774390714966699E-2</v>
      </c>
      <c r="P144" s="4"/>
      <c r="Q144" s="2">
        <v>41376</v>
      </c>
      <c r="R144" s="4">
        <v>-0.432278029040704</v>
      </c>
      <c r="S144" s="1">
        <v>0</v>
      </c>
      <c r="T144" s="4">
        <f>R144-S144</f>
        <v>-0.432278029040704</v>
      </c>
      <c r="U144" s="2">
        <v>40148</v>
      </c>
      <c r="V144" s="1" t="s">
        <v>52</v>
      </c>
      <c r="W144" s="1" t="s">
        <v>52</v>
      </c>
      <c r="X144" s="1">
        <v>-1.4</v>
      </c>
      <c r="Y144" s="2">
        <v>40718</v>
      </c>
      <c r="Z144" s="5">
        <v>1.8822413899999999</v>
      </c>
      <c r="AA144" s="1">
        <v>1.5</v>
      </c>
      <c r="AB144" s="1">
        <f>Z144-AA144</f>
        <v>0.3822413899999999</v>
      </c>
      <c r="AC144" s="2">
        <v>40687</v>
      </c>
      <c r="AD144" s="5">
        <v>0.32300000000000001</v>
      </c>
      <c r="AE144" s="6">
        <v>0.3</v>
      </c>
      <c r="AF144" s="7">
        <f>AD144-AE144</f>
        <v>2.300000000000002E-2</v>
      </c>
      <c r="AG144" s="8">
        <v>40141</v>
      </c>
      <c r="AH144" s="6">
        <v>50.6</v>
      </c>
      <c r="AI144" s="1">
        <v>47.7</v>
      </c>
      <c r="AJ144" s="1">
        <f>AH144-AI144</f>
        <v>2.8999999999999986</v>
      </c>
      <c r="AK144" s="2">
        <v>41124</v>
      </c>
      <c r="AL144" s="1">
        <v>8.5106382978721598E-2</v>
      </c>
      <c r="AM144" s="1">
        <v>0.2</v>
      </c>
      <c r="AN144" s="4">
        <f>AL144-AM144</f>
        <v>-0.11489361702127841</v>
      </c>
      <c r="AO144" s="2">
        <v>40135</v>
      </c>
      <c r="AP144" s="5">
        <v>0.27526634999999999</v>
      </c>
      <c r="AQ144" s="1">
        <v>0.2</v>
      </c>
      <c r="AR144" s="4">
        <f>AP144-AQ144</f>
        <v>7.5266349999999982E-2</v>
      </c>
      <c r="AS144" s="2">
        <v>40130</v>
      </c>
      <c r="AT144" s="5">
        <v>-36.472000000000001</v>
      </c>
      <c r="AU144" s="1">
        <v>-31.7</v>
      </c>
      <c r="AV144" s="4">
        <f>AT144-AU144</f>
        <v>-4.772000000000002</v>
      </c>
      <c r="AW144" s="9">
        <v>40134</v>
      </c>
      <c r="AX144" s="4">
        <v>5.0011260141738102E-2</v>
      </c>
      <c r="AY144" s="6">
        <v>0.4</v>
      </c>
      <c r="AZ144" s="4">
        <f>AX144-AY144</f>
        <v>-0.3499887398582619</v>
      </c>
    </row>
    <row r="145" spans="1:52" s="1" customFormat="1" x14ac:dyDescent="0.2">
      <c r="A145" s="2">
        <v>40151</v>
      </c>
      <c r="B145" s="1">
        <v>-11</v>
      </c>
      <c r="C145" s="1">
        <v>-130</v>
      </c>
      <c r="D145" s="1">
        <f>B145-C145</f>
        <v>119</v>
      </c>
      <c r="E145" s="2">
        <v>40151</v>
      </c>
      <c r="F145" s="1">
        <v>10</v>
      </c>
      <c r="G145" s="1">
        <v>10.199999999999999</v>
      </c>
      <c r="H145" s="1">
        <f>F145-G145</f>
        <v>-0.19999999999999929</v>
      </c>
      <c r="I145" s="2">
        <v>40163</v>
      </c>
      <c r="J145" s="1">
        <v>3.356724562604449E-2</v>
      </c>
      <c r="K145" s="1">
        <v>0.1</v>
      </c>
      <c r="L145" s="4">
        <f>J145-K145</f>
        <v>-6.6432754373955516E-2</v>
      </c>
      <c r="P145" s="4"/>
      <c r="Q145" s="2">
        <v>41407</v>
      </c>
      <c r="R145" s="4">
        <v>9.0051355547593401E-2</v>
      </c>
      <c r="S145" s="1">
        <v>-0.3</v>
      </c>
      <c r="T145" s="4">
        <f>R145-S145</f>
        <v>0.3900513555475934</v>
      </c>
      <c r="U145" s="2">
        <v>40182</v>
      </c>
      <c r="V145" s="1" t="s">
        <v>52</v>
      </c>
      <c r="W145" s="1" t="s">
        <v>52</v>
      </c>
      <c r="X145" s="1">
        <v>1.6</v>
      </c>
      <c r="Y145" s="2">
        <v>40751</v>
      </c>
      <c r="Z145" s="5">
        <v>-2.0549867000000002</v>
      </c>
      <c r="AA145" s="1">
        <v>0.3</v>
      </c>
      <c r="AB145" s="1">
        <f>Z145-AA145</f>
        <v>-2.3549867</v>
      </c>
      <c r="AC145" s="2">
        <v>40717</v>
      </c>
      <c r="AD145" s="5">
        <v>0.31900000000000001</v>
      </c>
      <c r="AE145" s="6">
        <v>0.31</v>
      </c>
      <c r="AF145" s="7">
        <f>AD145-AE145</f>
        <v>9.000000000000008E-3</v>
      </c>
      <c r="AG145" s="8">
        <v>40176</v>
      </c>
      <c r="AH145" s="6">
        <v>53.6</v>
      </c>
      <c r="AI145" s="1">
        <v>52.5</v>
      </c>
      <c r="AJ145" s="1">
        <f>AH145-AI145</f>
        <v>1.1000000000000014</v>
      </c>
      <c r="AK145" s="2">
        <v>41159</v>
      </c>
      <c r="AL145" s="1">
        <v>-4.2498937526568401E-2</v>
      </c>
      <c r="AM145" s="1">
        <v>0.2</v>
      </c>
      <c r="AN145" s="4">
        <f>AL145-AM145</f>
        <v>-0.24249893752656843</v>
      </c>
      <c r="AO145" s="2">
        <v>40163</v>
      </c>
      <c r="AP145" s="5">
        <v>0.39975043999999998</v>
      </c>
      <c r="AQ145" s="1">
        <v>0.4</v>
      </c>
      <c r="AR145" s="4">
        <f>AP145-AQ145</f>
        <v>-2.4956000000003753E-4</v>
      </c>
      <c r="AS145" s="2">
        <v>40157</v>
      </c>
      <c r="AT145" s="5">
        <v>-32.936</v>
      </c>
      <c r="AU145" s="1">
        <v>-36.799999999999997</v>
      </c>
      <c r="AV145" s="4">
        <f>AT145-AU145</f>
        <v>3.8639999999999972</v>
      </c>
      <c r="AW145" s="9">
        <v>40162</v>
      </c>
      <c r="AX145" s="4">
        <v>0.82861331986785902</v>
      </c>
      <c r="AY145" s="6">
        <v>0.5</v>
      </c>
      <c r="AZ145" s="4">
        <f>AX145-AY145</f>
        <v>0.32861331986785902</v>
      </c>
    </row>
    <row r="146" spans="1:52" s="1" customFormat="1" x14ac:dyDescent="0.2">
      <c r="A146" s="2">
        <v>40186</v>
      </c>
      <c r="B146" s="1">
        <v>-85</v>
      </c>
      <c r="C146" s="1">
        <v>-8</v>
      </c>
      <c r="D146" s="1">
        <f>B146-C146</f>
        <v>-77</v>
      </c>
      <c r="E146" s="2">
        <v>40186</v>
      </c>
      <c r="F146" s="1">
        <v>10</v>
      </c>
      <c r="G146" s="1">
        <v>10.1</v>
      </c>
      <c r="H146" s="1">
        <f>F146-G146</f>
        <v>-9.9999999999999645E-2</v>
      </c>
      <c r="I146" s="2">
        <v>40193</v>
      </c>
      <c r="J146" s="1">
        <v>0.11200442576193123</v>
      </c>
      <c r="K146" s="1">
        <v>0.1</v>
      </c>
      <c r="L146" s="4">
        <f>J146-K146</f>
        <v>1.2004425761931226E-2</v>
      </c>
      <c r="P146" s="4"/>
      <c r="Q146" s="2">
        <v>41438</v>
      </c>
      <c r="R146" s="4">
        <v>0.550806990736319</v>
      </c>
      <c r="S146" s="1">
        <v>0.4</v>
      </c>
      <c r="T146" s="4">
        <f>R146-S146</f>
        <v>0.15080699073631898</v>
      </c>
      <c r="U146" s="2">
        <v>40210</v>
      </c>
      <c r="V146" s="1" t="s">
        <v>52</v>
      </c>
      <c r="W146" s="1" t="s">
        <v>52</v>
      </c>
      <c r="X146" s="1">
        <v>2.9</v>
      </c>
      <c r="Y146" s="2">
        <v>40779</v>
      </c>
      <c r="Z146" s="5">
        <v>3.9854642299999998</v>
      </c>
      <c r="AA146" s="1">
        <v>2</v>
      </c>
      <c r="AB146" s="1">
        <f>Z146-AA146</f>
        <v>1.9854642299999998</v>
      </c>
      <c r="AC146" s="2">
        <v>40750</v>
      </c>
      <c r="AD146" s="5">
        <v>0.312</v>
      </c>
      <c r="AE146" s="6">
        <v>0.32</v>
      </c>
      <c r="AF146" s="7">
        <f>AD146-AE146</f>
        <v>-8.0000000000000071E-3</v>
      </c>
      <c r="AG146" s="8">
        <v>40204</v>
      </c>
      <c r="AH146" s="6">
        <v>56.5</v>
      </c>
      <c r="AI146" s="1">
        <v>53.5</v>
      </c>
      <c r="AJ146" s="1">
        <f>AH146-AI146</f>
        <v>3</v>
      </c>
      <c r="AK146" s="2">
        <v>41187</v>
      </c>
      <c r="AL146" s="1">
        <v>0.297745640153112</v>
      </c>
      <c r="AM146" s="1">
        <v>0.2</v>
      </c>
      <c r="AN146" s="4">
        <f>AL146-AM146</f>
        <v>9.774564015311199E-2</v>
      </c>
      <c r="AO146" s="2">
        <v>40193</v>
      </c>
      <c r="AP146" s="5">
        <v>0.13394707</v>
      </c>
      <c r="AQ146" s="1">
        <v>0.2</v>
      </c>
      <c r="AR146" s="4">
        <f>AP146-AQ146</f>
        <v>-6.605293000000001E-2</v>
      </c>
      <c r="AS146" s="2">
        <v>40190</v>
      </c>
      <c r="AT146" s="5">
        <v>-36.402000000000001</v>
      </c>
      <c r="AU146" s="1">
        <v>-34.799999999999997</v>
      </c>
      <c r="AV146" s="4">
        <f>AT146-AU146</f>
        <v>-1.6020000000000039</v>
      </c>
      <c r="AW146" s="9">
        <v>40193</v>
      </c>
      <c r="AX146" s="4">
        <v>0.63791468718803102</v>
      </c>
      <c r="AY146" s="6">
        <v>0.6</v>
      </c>
      <c r="AZ146" s="4">
        <f>AX146-AY146</f>
        <v>3.7914687188031038E-2</v>
      </c>
    </row>
    <row r="147" spans="1:52" s="1" customFormat="1" x14ac:dyDescent="0.2">
      <c r="A147" s="2">
        <v>40214</v>
      </c>
      <c r="B147" s="1">
        <v>-20</v>
      </c>
      <c r="C147" s="1">
        <v>5</v>
      </c>
      <c r="D147" s="1">
        <f>B147-C147</f>
        <v>-25</v>
      </c>
      <c r="E147" s="2">
        <v>40214</v>
      </c>
      <c r="F147" s="1">
        <v>9.6999999999999993</v>
      </c>
      <c r="G147" s="1">
        <v>10.1</v>
      </c>
      <c r="H147" s="1">
        <f>F147-G147</f>
        <v>-0.40000000000000036</v>
      </c>
      <c r="I147" s="2">
        <v>40228</v>
      </c>
      <c r="J147" s="1">
        <v>-0.14086803699711337</v>
      </c>
      <c r="K147" s="1">
        <v>0.1</v>
      </c>
      <c r="L147" s="4">
        <f>J147-K147</f>
        <v>-0.24086803699711337</v>
      </c>
      <c r="P147" s="4"/>
      <c r="Q147" s="2">
        <v>41470</v>
      </c>
      <c r="R147" s="4">
        <v>0.37319988034812901</v>
      </c>
      <c r="S147" s="1">
        <v>0.8</v>
      </c>
      <c r="T147" s="4">
        <f>R147-S147</f>
        <v>-0.42680011965187103</v>
      </c>
      <c r="U147" s="2">
        <v>40238</v>
      </c>
      <c r="V147" s="1" t="s">
        <v>52</v>
      </c>
      <c r="W147" s="1" t="s">
        <v>52</v>
      </c>
      <c r="X147" s="1">
        <v>-1</v>
      </c>
      <c r="Y147" s="2">
        <v>40814</v>
      </c>
      <c r="Z147" s="5">
        <v>-0.1158467</v>
      </c>
      <c r="AA147" s="1">
        <v>0</v>
      </c>
      <c r="AB147" s="1">
        <f>Z147-AA147</f>
        <v>-0.1158467</v>
      </c>
      <c r="AC147" s="2">
        <v>40778</v>
      </c>
      <c r="AD147" s="5">
        <v>0.29799999999999999</v>
      </c>
      <c r="AE147" s="6">
        <v>0.31</v>
      </c>
      <c r="AF147" s="7">
        <f>AD147-AE147</f>
        <v>-1.2000000000000011E-2</v>
      </c>
      <c r="AG147" s="8">
        <v>40232</v>
      </c>
      <c r="AH147" s="6">
        <v>46.4</v>
      </c>
      <c r="AI147" s="1">
        <v>55</v>
      </c>
      <c r="AJ147" s="1">
        <f>AH147-AI147</f>
        <v>-8.6000000000000014</v>
      </c>
      <c r="AK147" s="2">
        <v>41215</v>
      </c>
      <c r="AL147" s="1">
        <v>-4.2390843577793803E-2</v>
      </c>
      <c r="AM147" s="1">
        <v>0.2</v>
      </c>
      <c r="AN147" s="4">
        <f>AL147-AM147</f>
        <v>-0.24239084357779381</v>
      </c>
      <c r="AO147" s="2">
        <v>40228</v>
      </c>
      <c r="AP147" s="5">
        <v>0.16710860999999999</v>
      </c>
      <c r="AQ147" s="1">
        <v>0.3</v>
      </c>
      <c r="AR147" s="4">
        <f>AP147-AQ147</f>
        <v>-0.13289139</v>
      </c>
      <c r="AS147" s="2">
        <v>40219</v>
      </c>
      <c r="AT147" s="5">
        <v>-40.180999999999997</v>
      </c>
      <c r="AU147" s="1">
        <v>-36</v>
      </c>
      <c r="AV147" s="4">
        <f>AT147-AU147</f>
        <v>-4.1809999999999974</v>
      </c>
      <c r="AW147" s="9">
        <v>40226</v>
      </c>
      <c r="AX147" s="4">
        <v>0.93431432675229997</v>
      </c>
      <c r="AY147" s="6">
        <v>0.7</v>
      </c>
      <c r="AZ147" s="4">
        <f>AX147-AY147</f>
        <v>0.23431432675230002</v>
      </c>
    </row>
    <row r="148" spans="1:52" s="1" customFormat="1" x14ac:dyDescent="0.2">
      <c r="A148" s="2">
        <v>40242</v>
      </c>
      <c r="B148" s="1">
        <v>-36</v>
      </c>
      <c r="C148" s="1">
        <v>-50</v>
      </c>
      <c r="D148" s="1">
        <f>B148-C148</f>
        <v>14</v>
      </c>
      <c r="E148" s="2">
        <v>40242</v>
      </c>
      <c r="F148" s="1">
        <v>9.6999999999999993</v>
      </c>
      <c r="G148" s="1">
        <v>9.8000000000000007</v>
      </c>
      <c r="H148" s="1">
        <f>F148-G148</f>
        <v>-0.10000000000000142</v>
      </c>
      <c r="I148" s="2">
        <v>40255</v>
      </c>
      <c r="J148" s="1">
        <v>5.2616538829651179E-2</v>
      </c>
      <c r="K148" s="1">
        <v>0.1</v>
      </c>
      <c r="L148" s="4">
        <f>J148-K148</f>
        <v>-4.7383461170348827E-2</v>
      </c>
      <c r="P148" s="4"/>
      <c r="Q148" s="2">
        <v>41499</v>
      </c>
      <c r="R148" s="4">
        <v>0.19638899183050099</v>
      </c>
      <c r="S148" s="1">
        <v>0.3</v>
      </c>
      <c r="T148" s="4">
        <f>R148-S148</f>
        <v>-0.103611008169499</v>
      </c>
      <c r="U148" s="2">
        <v>40269</v>
      </c>
      <c r="V148" s="1" t="s">
        <v>52</v>
      </c>
      <c r="W148" s="1" t="s">
        <v>52</v>
      </c>
      <c r="X148" s="1">
        <v>2.6</v>
      </c>
      <c r="Y148" s="2">
        <v>40842</v>
      </c>
      <c r="Z148" s="5">
        <v>-0.76433059999999997</v>
      </c>
      <c r="AA148" s="1">
        <v>-0.9</v>
      </c>
      <c r="AB148" s="1">
        <f>Z148-AA148</f>
        <v>0.13566940000000005</v>
      </c>
      <c r="AC148" s="2">
        <v>40812</v>
      </c>
      <c r="AD148" s="5">
        <v>0.29499999999999998</v>
      </c>
      <c r="AE148" s="6">
        <v>0.29499999999999998</v>
      </c>
      <c r="AF148" s="7">
        <f>AD148-AE148</f>
        <v>0</v>
      </c>
      <c r="AG148" s="8">
        <v>40267</v>
      </c>
      <c r="AH148" s="6">
        <v>52.3</v>
      </c>
      <c r="AI148" s="1">
        <v>50</v>
      </c>
      <c r="AJ148" s="1">
        <f>AH148-AI148</f>
        <v>2.2999999999999972</v>
      </c>
      <c r="AK148" s="2">
        <v>41250</v>
      </c>
      <c r="AL148" s="1">
        <v>0.16956337431114499</v>
      </c>
      <c r="AM148" s="1">
        <v>0.2</v>
      </c>
      <c r="AN148" s="4">
        <f>AL148-AM148</f>
        <v>-3.0436625688855024E-2</v>
      </c>
      <c r="AO148" s="2">
        <v>40255</v>
      </c>
      <c r="AP148" s="5">
        <v>1.8383500000000001E-3</v>
      </c>
      <c r="AQ148" s="1">
        <v>0.1</v>
      </c>
      <c r="AR148" s="4">
        <f>AP148-AQ148</f>
        <v>-9.8161650000000003E-2</v>
      </c>
      <c r="AS148" s="2">
        <v>40248</v>
      </c>
      <c r="AT148" s="5">
        <v>-37.287999999999997</v>
      </c>
      <c r="AU148" s="1">
        <v>-41</v>
      </c>
      <c r="AV148" s="4">
        <f>AT148-AU148</f>
        <v>3.7120000000000033</v>
      </c>
      <c r="AW148" s="9">
        <v>40252</v>
      </c>
      <c r="AX148" s="4">
        <v>7.6702923828246103E-2</v>
      </c>
      <c r="AY148" s="6">
        <v>0</v>
      </c>
      <c r="AZ148" s="4">
        <f>AX148-AY148</f>
        <v>7.6702923828246103E-2</v>
      </c>
    </row>
    <row r="149" spans="1:52" s="1" customFormat="1" x14ac:dyDescent="0.2">
      <c r="A149" s="2">
        <v>40270</v>
      </c>
      <c r="B149" s="1">
        <v>162</v>
      </c>
      <c r="C149" s="1">
        <v>190</v>
      </c>
      <c r="D149" s="1">
        <f>B149-C149</f>
        <v>-28</v>
      </c>
      <c r="E149" s="2">
        <v>40270</v>
      </c>
      <c r="F149" s="1">
        <v>9.6999999999999993</v>
      </c>
      <c r="G149" s="1">
        <v>9.6999999999999993</v>
      </c>
      <c r="H149" s="1">
        <f>F149-G149</f>
        <v>0</v>
      </c>
      <c r="I149" s="2">
        <v>40282</v>
      </c>
      <c r="J149" s="1">
        <v>3.853494666309102E-2</v>
      </c>
      <c r="K149" s="1">
        <v>0.1</v>
      </c>
      <c r="L149" s="4">
        <f>J149-K149</f>
        <v>-6.1465053336908985E-2</v>
      </c>
      <c r="P149" s="4"/>
      <c r="Q149" s="2">
        <v>41530</v>
      </c>
      <c r="R149" s="4">
        <v>0.21284743349692301</v>
      </c>
      <c r="S149" s="1">
        <v>0.4</v>
      </c>
      <c r="T149" s="4">
        <f>R149-S149</f>
        <v>-0.18715256650307702</v>
      </c>
      <c r="U149" s="2">
        <v>40301</v>
      </c>
      <c r="V149" s="1" t="s">
        <v>52</v>
      </c>
      <c r="W149" s="1" t="s">
        <v>52</v>
      </c>
      <c r="X149" s="1">
        <v>0.4</v>
      </c>
      <c r="Y149" s="2">
        <v>40870</v>
      </c>
      <c r="Z149" s="5">
        <v>-0.70773790000000003</v>
      </c>
      <c r="AA149" s="1">
        <v>-1</v>
      </c>
      <c r="AB149" s="1">
        <f>Z149-AA149</f>
        <v>0.29226209999999997</v>
      </c>
      <c r="AC149" s="2">
        <v>40842</v>
      </c>
      <c r="AD149" s="5">
        <v>0.313</v>
      </c>
      <c r="AE149" s="6">
        <v>0.3</v>
      </c>
      <c r="AF149" s="7">
        <f>AD149-AE149</f>
        <v>1.3000000000000012E-2</v>
      </c>
      <c r="AG149" s="8">
        <v>40295</v>
      </c>
      <c r="AH149" s="6">
        <v>57.7</v>
      </c>
      <c r="AI149" s="1">
        <v>53.5</v>
      </c>
      <c r="AJ149" s="1">
        <f>AH149-AI149</f>
        <v>4.2000000000000028</v>
      </c>
      <c r="AK149" s="2">
        <v>41278</v>
      </c>
      <c r="AL149" s="1">
        <v>0.29585798816568099</v>
      </c>
      <c r="AM149" s="1">
        <v>0.2</v>
      </c>
      <c r="AN149" s="4">
        <f>AL149-AM149</f>
        <v>9.5857988165680974E-2</v>
      </c>
      <c r="AO149" s="2">
        <v>40282</v>
      </c>
      <c r="AP149" s="5">
        <v>6.3421740000000004E-2</v>
      </c>
      <c r="AQ149" s="1">
        <v>0.1</v>
      </c>
      <c r="AR149" s="4">
        <f>AP149-AQ149</f>
        <v>-3.6578260000000001E-2</v>
      </c>
      <c r="AS149" s="2">
        <v>40281</v>
      </c>
      <c r="AT149" s="5">
        <v>-39.704000000000001</v>
      </c>
      <c r="AU149" s="1">
        <v>-38.5</v>
      </c>
      <c r="AV149" s="4">
        <f>AT149-AU149</f>
        <v>-1.2040000000000006</v>
      </c>
      <c r="AW149" s="9">
        <v>40283</v>
      </c>
      <c r="AX149" s="4">
        <v>9.4173831495831695E-2</v>
      </c>
      <c r="AY149" s="6">
        <v>0.7</v>
      </c>
      <c r="AZ149" s="4">
        <f>AX149-AY149</f>
        <v>-0.60582616850416826</v>
      </c>
    </row>
    <row r="150" spans="1:52" s="1" customFormat="1" x14ac:dyDescent="0.2">
      <c r="A150" s="2">
        <v>40305</v>
      </c>
      <c r="B150" s="1">
        <v>290</v>
      </c>
      <c r="C150" s="1">
        <v>200</v>
      </c>
      <c r="D150" s="1">
        <f>B150-C150</f>
        <v>90</v>
      </c>
      <c r="E150" s="2">
        <v>40305</v>
      </c>
      <c r="F150" s="1">
        <v>9.9</v>
      </c>
      <c r="G150" s="1">
        <v>9.6999999999999993</v>
      </c>
      <c r="H150" s="1">
        <f>F150-G150</f>
        <v>0.20000000000000107</v>
      </c>
      <c r="I150" s="2">
        <v>40317</v>
      </c>
      <c r="J150" s="1">
        <v>4.713047891818032E-2</v>
      </c>
      <c r="K150" s="1">
        <v>0.1</v>
      </c>
      <c r="L150" s="4">
        <f>J150-K150</f>
        <v>-5.2869521081819686E-2</v>
      </c>
      <c r="P150" s="4"/>
      <c r="Q150" s="2">
        <v>41576</v>
      </c>
      <c r="R150" s="4">
        <v>-0.10812915452852399</v>
      </c>
      <c r="S150" s="1">
        <v>0.1</v>
      </c>
      <c r="T150" s="4">
        <f>R150-S150</f>
        <v>-0.20812915452852399</v>
      </c>
      <c r="U150" s="2">
        <v>40330</v>
      </c>
      <c r="V150" s="1" t="s">
        <v>52</v>
      </c>
      <c r="W150" s="1" t="s">
        <v>52</v>
      </c>
      <c r="X150" s="1">
        <v>0.7</v>
      </c>
      <c r="Y150" s="2">
        <v>40900</v>
      </c>
      <c r="Z150" s="5">
        <v>3.7673893999999999</v>
      </c>
      <c r="AA150" s="1">
        <v>2</v>
      </c>
      <c r="AB150" s="1">
        <f>Z150-AA150</f>
        <v>1.7673893999999999</v>
      </c>
      <c r="AC150" s="2">
        <v>40875</v>
      </c>
      <c r="AD150" s="5">
        <v>0.307</v>
      </c>
      <c r="AE150" s="6">
        <v>0.315</v>
      </c>
      <c r="AF150" s="7">
        <f>AD150-AE150</f>
        <v>-8.0000000000000071E-3</v>
      </c>
      <c r="AG150" s="8">
        <v>40323</v>
      </c>
      <c r="AH150" s="6">
        <v>62.7</v>
      </c>
      <c r="AI150" s="1">
        <v>59</v>
      </c>
      <c r="AJ150" s="1">
        <f>AH150-AI150</f>
        <v>3.7000000000000028</v>
      </c>
      <c r="AK150" s="2">
        <v>41306</v>
      </c>
      <c r="AL150" s="1">
        <v>0.168491996630171</v>
      </c>
      <c r="AM150" s="1">
        <v>0.2</v>
      </c>
      <c r="AN150" s="4">
        <f>AL150-AM150</f>
        <v>-3.1508003369829007E-2</v>
      </c>
      <c r="AO150" s="2">
        <v>40317</v>
      </c>
      <c r="AP150" s="5">
        <v>-6.8892999999999996E-2</v>
      </c>
      <c r="AQ150" s="1">
        <v>0.1</v>
      </c>
      <c r="AR150" s="4">
        <f>AP150-AQ150</f>
        <v>-0.16889300000000002</v>
      </c>
      <c r="AS150" s="2">
        <v>40310</v>
      </c>
      <c r="AT150" s="5">
        <v>-40.423000000000002</v>
      </c>
      <c r="AU150" s="1">
        <v>-40.1</v>
      </c>
      <c r="AV150" s="4">
        <f>AT150-AU150</f>
        <v>-0.3230000000000004</v>
      </c>
      <c r="AW150" s="9">
        <v>40312</v>
      </c>
      <c r="AX150" s="4">
        <v>0.79668198658956701</v>
      </c>
      <c r="AY150" s="6">
        <v>0.6</v>
      </c>
      <c r="AZ150" s="4">
        <f>AX150-AY150</f>
        <v>0.19668198658956704</v>
      </c>
    </row>
    <row r="151" spans="1:52" s="1" customFormat="1" x14ac:dyDescent="0.2">
      <c r="A151" s="2">
        <v>40333</v>
      </c>
      <c r="B151" s="1">
        <v>431</v>
      </c>
      <c r="C151" s="1">
        <v>513</v>
      </c>
      <c r="D151" s="1">
        <f>B151-C151</f>
        <v>-82</v>
      </c>
      <c r="E151" s="2">
        <v>40333</v>
      </c>
      <c r="F151" s="1">
        <v>9.6999999999999993</v>
      </c>
      <c r="G151" s="1">
        <v>9.8000000000000007</v>
      </c>
      <c r="H151" s="1">
        <f>F151-G151</f>
        <v>-0.10000000000000142</v>
      </c>
      <c r="I151" s="2">
        <v>40346</v>
      </c>
      <c r="J151" s="1">
        <v>0.12184736918394218</v>
      </c>
      <c r="K151" s="1">
        <v>0.1</v>
      </c>
      <c r="L151" s="4">
        <f>J151-K151</f>
        <v>2.1847369183942172E-2</v>
      </c>
      <c r="P151" s="4"/>
      <c r="Q151" s="2">
        <v>41598</v>
      </c>
      <c r="R151" s="4">
        <v>0.40575182529686699</v>
      </c>
      <c r="S151" s="1">
        <v>0.1</v>
      </c>
      <c r="T151" s="4">
        <f>R151-S151</f>
        <v>0.30575182529686695</v>
      </c>
      <c r="U151" s="2">
        <v>40360</v>
      </c>
      <c r="V151" s="1" t="s">
        <v>52</v>
      </c>
      <c r="W151" s="1" t="s">
        <v>52</v>
      </c>
      <c r="X151" s="1">
        <v>-2.8</v>
      </c>
      <c r="Y151" s="2">
        <v>40934</v>
      </c>
      <c r="Z151" s="5">
        <v>2.99692721</v>
      </c>
      <c r="AA151" s="1">
        <v>2</v>
      </c>
      <c r="AB151" s="1">
        <f>Z151-AA151</f>
        <v>0.99692720999999995</v>
      </c>
      <c r="AC151" s="2">
        <v>40900</v>
      </c>
      <c r="AD151" s="5">
        <v>0.315</v>
      </c>
      <c r="AE151" s="6">
        <v>0.313</v>
      </c>
      <c r="AF151" s="7">
        <f>AD151-AE151</f>
        <v>2.0000000000000018E-3</v>
      </c>
      <c r="AG151" s="8">
        <v>40358</v>
      </c>
      <c r="AH151" s="6">
        <v>54.3</v>
      </c>
      <c r="AI151" s="1">
        <v>62.8</v>
      </c>
      <c r="AJ151" s="1">
        <f>AH151-AI151</f>
        <v>-8.5</v>
      </c>
      <c r="AK151" s="2">
        <v>41341</v>
      </c>
      <c r="AL151" s="1">
        <v>0.16820857863750599</v>
      </c>
      <c r="AM151" s="1">
        <v>0.2</v>
      </c>
      <c r="AN151" s="4">
        <f>AL151-AM151</f>
        <v>-3.1791421362494021E-2</v>
      </c>
      <c r="AO151" s="2">
        <v>40346</v>
      </c>
      <c r="AP151" s="5">
        <v>-0.1631591</v>
      </c>
      <c r="AQ151" s="1">
        <v>-0.2</v>
      </c>
      <c r="AR151" s="4">
        <f>AP151-AQ151</f>
        <v>3.684090000000001E-2</v>
      </c>
      <c r="AS151" s="2">
        <v>40339</v>
      </c>
      <c r="AT151" s="5">
        <v>-40.284999999999997</v>
      </c>
      <c r="AU151" s="1">
        <v>-41</v>
      </c>
      <c r="AV151" s="4">
        <f>AT151-AU151</f>
        <v>0.71500000000000341</v>
      </c>
      <c r="AW151" s="9">
        <v>40345</v>
      </c>
      <c r="AX151" s="4">
        <v>1.24094421666801</v>
      </c>
      <c r="AY151" s="6">
        <v>0.9</v>
      </c>
      <c r="AZ151" s="4">
        <f>AX151-AY151</f>
        <v>0.34094421666801</v>
      </c>
    </row>
    <row r="152" spans="1:52" s="1" customFormat="1" x14ac:dyDescent="0.2">
      <c r="A152" s="2">
        <v>40361</v>
      </c>
      <c r="B152" s="1">
        <v>-125</v>
      </c>
      <c r="C152" s="1">
        <v>-110</v>
      </c>
      <c r="D152" s="1">
        <f>B152-C152</f>
        <v>-15</v>
      </c>
      <c r="E152" s="2">
        <v>40361</v>
      </c>
      <c r="F152" s="1">
        <v>9.5</v>
      </c>
      <c r="G152" s="1">
        <v>9.8000000000000007</v>
      </c>
      <c r="H152" s="1">
        <f>F152-G152</f>
        <v>-0.30000000000000071</v>
      </c>
      <c r="I152" s="2">
        <v>40375</v>
      </c>
      <c r="J152" s="1">
        <v>0.15879694349814696</v>
      </c>
      <c r="K152" s="1">
        <v>0.1</v>
      </c>
      <c r="L152" s="4">
        <f>J152-K152</f>
        <v>5.8796943498146959E-2</v>
      </c>
      <c r="P152" s="4"/>
      <c r="Q152" s="2">
        <v>41620</v>
      </c>
      <c r="R152" s="4">
        <v>0.68003446750040697</v>
      </c>
      <c r="S152" s="1">
        <v>0.6</v>
      </c>
      <c r="T152" s="4">
        <f>R152-S152</f>
        <v>8.0034467500406992E-2</v>
      </c>
      <c r="U152" s="2">
        <v>40392</v>
      </c>
      <c r="V152" s="1" t="s">
        <v>52</v>
      </c>
      <c r="W152" s="1" t="s">
        <v>52</v>
      </c>
      <c r="X152" s="1">
        <v>1.3</v>
      </c>
      <c r="Y152" s="2">
        <v>40967</v>
      </c>
      <c r="Z152" s="5">
        <v>-3.9968322999999999</v>
      </c>
      <c r="AA152" s="1">
        <v>-1</v>
      </c>
      <c r="AB152" s="1">
        <f>Z152-AA152</f>
        <v>-2.9968322999999999</v>
      </c>
      <c r="AC152" s="2">
        <v>40934</v>
      </c>
      <c r="AD152" s="5">
        <v>0.307</v>
      </c>
      <c r="AE152" s="6">
        <v>0.32</v>
      </c>
      <c r="AF152" s="7">
        <f>AD152-AE152</f>
        <v>-1.3000000000000012E-2</v>
      </c>
      <c r="AG152" s="8">
        <v>40386</v>
      </c>
      <c r="AH152" s="6">
        <v>51</v>
      </c>
      <c r="AI152" s="1">
        <v>51</v>
      </c>
      <c r="AJ152" s="1">
        <f>AH152-AI152</f>
        <v>0</v>
      </c>
      <c r="AK152" s="2">
        <v>41369</v>
      </c>
      <c r="AL152" s="1">
        <v>4.1999160016806203E-2</v>
      </c>
      <c r="AM152" s="1">
        <v>0.2</v>
      </c>
      <c r="AN152" s="4">
        <f>AL152-AM152</f>
        <v>-0.15800083998319381</v>
      </c>
      <c r="AO152" s="2">
        <v>40375</v>
      </c>
      <c r="AP152" s="5">
        <v>-0.13580449999999999</v>
      </c>
      <c r="AQ152" s="1">
        <v>0</v>
      </c>
      <c r="AR152" s="4">
        <f>AP152-AQ152</f>
        <v>-0.13580449999999999</v>
      </c>
      <c r="AS152" s="2">
        <v>40372</v>
      </c>
      <c r="AT152" s="5">
        <v>-42.265999999999998</v>
      </c>
      <c r="AU152" s="1">
        <v>-39</v>
      </c>
      <c r="AV152" s="4">
        <f>AT152-AU152</f>
        <v>-3.2659999999999982</v>
      </c>
      <c r="AW152" s="9">
        <v>40374</v>
      </c>
      <c r="AX152" s="4">
        <v>7.3539431194126606E-2</v>
      </c>
      <c r="AY152" s="6">
        <v>-0.1</v>
      </c>
      <c r="AZ152" s="4">
        <f>AX152-AY152</f>
        <v>0.17353943119412663</v>
      </c>
    </row>
    <row r="153" spans="1:52" s="1" customFormat="1" x14ac:dyDescent="0.2">
      <c r="A153" s="2">
        <v>40396</v>
      </c>
      <c r="B153" s="1">
        <v>-131</v>
      </c>
      <c r="C153" s="1">
        <v>-65</v>
      </c>
      <c r="D153" s="1">
        <f>B153-C153</f>
        <v>-66</v>
      </c>
      <c r="E153" s="2">
        <v>40396</v>
      </c>
      <c r="F153" s="1">
        <v>9.5</v>
      </c>
      <c r="G153" s="1">
        <v>9.6</v>
      </c>
      <c r="H153" s="1">
        <f>F153-G153</f>
        <v>-9.9999999999999645E-2</v>
      </c>
      <c r="I153" s="2">
        <v>40403</v>
      </c>
      <c r="J153" s="1">
        <v>0.13008835167216945</v>
      </c>
      <c r="K153" s="1">
        <v>0.1</v>
      </c>
      <c r="L153" s="4">
        <f>J153-K153</f>
        <v>3.0088351672169444E-2</v>
      </c>
      <c r="P153" s="4"/>
      <c r="Q153" s="2">
        <v>41653</v>
      </c>
      <c r="R153" s="4">
        <v>0.23161847470647301</v>
      </c>
      <c r="S153" s="1">
        <v>0.1</v>
      </c>
      <c r="T153" s="4">
        <f>R153-S153</f>
        <v>0.131618474706473</v>
      </c>
      <c r="U153" s="2">
        <v>40422</v>
      </c>
      <c r="V153" s="1" t="s">
        <v>52</v>
      </c>
      <c r="W153" s="1" t="s">
        <v>52</v>
      </c>
      <c r="X153" s="1">
        <v>3.3</v>
      </c>
      <c r="Y153" s="2">
        <v>40996</v>
      </c>
      <c r="Z153" s="5">
        <v>2.1928279499999999</v>
      </c>
      <c r="AA153" s="1">
        <v>3</v>
      </c>
      <c r="AB153" s="1">
        <f>Z153-AA153</f>
        <v>-0.80717205000000014</v>
      </c>
      <c r="AC153" s="2">
        <v>40963</v>
      </c>
      <c r="AD153" s="5">
        <v>0.32100000000000001</v>
      </c>
      <c r="AE153" s="6">
        <v>0.315</v>
      </c>
      <c r="AF153" s="7">
        <f>AD153-AE153</f>
        <v>6.0000000000000053E-3</v>
      </c>
      <c r="AG153" s="8">
        <v>40421</v>
      </c>
      <c r="AH153" s="6">
        <v>53.2</v>
      </c>
      <c r="AI153" s="1">
        <v>50.5</v>
      </c>
      <c r="AJ153" s="1">
        <f>AH153-AI153</f>
        <v>2.7000000000000028</v>
      </c>
      <c r="AK153" s="2">
        <v>41397</v>
      </c>
      <c r="AL153" s="1">
        <v>0.16785564414604501</v>
      </c>
      <c r="AM153" s="1">
        <v>0.2</v>
      </c>
      <c r="AN153" s="4">
        <f>AL153-AM153</f>
        <v>-3.2144355853955003E-2</v>
      </c>
      <c r="AO153" s="2">
        <v>40403</v>
      </c>
      <c r="AP153" s="5">
        <v>0.30793484999999998</v>
      </c>
      <c r="AQ153" s="1">
        <v>0.2</v>
      </c>
      <c r="AR153" s="4">
        <f>AP153-AQ153</f>
        <v>0.10793484999999997</v>
      </c>
      <c r="AS153" s="2">
        <v>40401</v>
      </c>
      <c r="AT153" s="5">
        <v>-49.895000000000003</v>
      </c>
      <c r="AU153" s="1">
        <v>-42</v>
      </c>
      <c r="AV153" s="4">
        <f>AT153-AU153</f>
        <v>-7.8950000000000031</v>
      </c>
      <c r="AW153" s="9">
        <v>40407</v>
      </c>
      <c r="AX153" s="4">
        <v>0.98693777902237101</v>
      </c>
      <c r="AY153" s="6">
        <v>0.5</v>
      </c>
      <c r="AZ153" s="4">
        <f>AX153-AY153</f>
        <v>0.48693777902237101</v>
      </c>
    </row>
    <row r="154" spans="1:52" s="1" customFormat="1" x14ac:dyDescent="0.2">
      <c r="A154" s="2">
        <v>40424</v>
      </c>
      <c r="B154" s="1">
        <v>-54</v>
      </c>
      <c r="C154" s="1">
        <v>-100</v>
      </c>
      <c r="D154" s="1">
        <f>B154-C154</f>
        <v>46</v>
      </c>
      <c r="E154" s="2">
        <v>40424</v>
      </c>
      <c r="F154" s="1">
        <v>9.6</v>
      </c>
      <c r="G154" s="1">
        <v>9.6</v>
      </c>
      <c r="H154" s="1">
        <f>F154-G154</f>
        <v>0</v>
      </c>
      <c r="I154" s="2">
        <v>40438</v>
      </c>
      <c r="J154" s="1">
        <v>4.646420902578928E-2</v>
      </c>
      <c r="K154" s="1">
        <v>0.1</v>
      </c>
      <c r="L154" s="4">
        <f>J154-K154</f>
        <v>-5.3535790974210726E-2</v>
      </c>
      <c r="P154" s="4"/>
      <c r="Q154" s="2">
        <v>41683</v>
      </c>
      <c r="R154" s="4">
        <v>-0.409693916743678</v>
      </c>
      <c r="S154" s="1">
        <v>0</v>
      </c>
      <c r="T154" s="4">
        <f>R154-S154</f>
        <v>-0.409693916743678</v>
      </c>
      <c r="U154" s="2">
        <v>40452</v>
      </c>
      <c r="V154" s="1" t="s">
        <v>52</v>
      </c>
      <c r="W154" s="1" t="s">
        <v>52</v>
      </c>
      <c r="X154" s="1">
        <v>-0.1</v>
      </c>
      <c r="Y154" s="2">
        <v>41024</v>
      </c>
      <c r="Z154" s="5">
        <v>-4.1656218999999997</v>
      </c>
      <c r="AA154" s="1">
        <v>-1.7</v>
      </c>
      <c r="AB154" s="1">
        <f>Z154-AA154</f>
        <v>-2.4656218999999995</v>
      </c>
      <c r="AC154" s="2">
        <v>40991</v>
      </c>
      <c r="AD154" s="5">
        <v>0.313</v>
      </c>
      <c r="AE154" s="6">
        <v>0.32500000000000001</v>
      </c>
      <c r="AF154" s="7">
        <f>AD154-AE154</f>
        <v>-1.2000000000000011E-2</v>
      </c>
      <c r="AG154" s="8">
        <v>40449</v>
      </c>
      <c r="AH154" s="6">
        <v>48.6</v>
      </c>
      <c r="AI154" s="1">
        <v>52.5</v>
      </c>
      <c r="AJ154" s="1">
        <f>AH154-AI154</f>
        <v>-3.8999999999999986</v>
      </c>
      <c r="AK154" s="2">
        <v>41432</v>
      </c>
      <c r="AL154" s="1">
        <v>4.1876046901179E-2</v>
      </c>
      <c r="AM154" s="1">
        <v>0.2</v>
      </c>
      <c r="AN154" s="4">
        <f>AL154-AM154</f>
        <v>-0.15812395309882102</v>
      </c>
      <c r="AO154" s="2">
        <v>40438</v>
      </c>
      <c r="AP154" s="5">
        <v>0.25413953</v>
      </c>
      <c r="AQ154" s="1">
        <v>0.2</v>
      </c>
      <c r="AR154" s="4">
        <f>AP154-AQ154</f>
        <v>5.4139529999999991E-2</v>
      </c>
      <c r="AS154" s="2">
        <v>40430</v>
      </c>
      <c r="AT154" s="5">
        <v>-42.774999999999999</v>
      </c>
      <c r="AU154" s="1">
        <v>-47.3</v>
      </c>
      <c r="AV154" s="4">
        <f>AT154-AU154</f>
        <v>4.5249999999999986</v>
      </c>
      <c r="AW154" s="9">
        <v>40436</v>
      </c>
      <c r="AX154" s="4">
        <v>0.15774345198119399</v>
      </c>
      <c r="AY154" s="6">
        <v>0.2</v>
      </c>
      <c r="AZ154" s="4">
        <f>AX154-AY154</f>
        <v>-4.2256548018806017E-2</v>
      </c>
    </row>
    <row r="155" spans="1:52" s="1" customFormat="1" x14ac:dyDescent="0.2">
      <c r="A155" s="2">
        <v>40459</v>
      </c>
      <c r="B155" s="1">
        <v>-95</v>
      </c>
      <c r="C155" s="1">
        <v>0</v>
      </c>
      <c r="D155" s="1">
        <f>B155-C155</f>
        <v>-95</v>
      </c>
      <c r="E155" s="2">
        <v>40459</v>
      </c>
      <c r="F155" s="1">
        <v>9.6</v>
      </c>
      <c r="G155" s="1">
        <v>9.6999999999999993</v>
      </c>
      <c r="H155" s="1">
        <f>F155-G155</f>
        <v>-9.9999999999999645E-2</v>
      </c>
      <c r="I155" s="2">
        <v>40466</v>
      </c>
      <c r="J155" s="1">
        <v>9.0179863738656496E-4</v>
      </c>
      <c r="K155" s="1">
        <v>0.1</v>
      </c>
      <c r="L155" s="4">
        <f>J155-K155</f>
        <v>-9.9098201362613436E-2</v>
      </c>
      <c r="P155" s="4"/>
      <c r="Q155" s="2">
        <v>41711</v>
      </c>
      <c r="R155" s="4">
        <v>0.26569402000685299</v>
      </c>
      <c r="S155" s="1">
        <v>0.2</v>
      </c>
      <c r="T155" s="4">
        <f>R155-S155</f>
        <v>6.5694020006852982E-2</v>
      </c>
      <c r="U155" s="2">
        <v>40483</v>
      </c>
      <c r="V155" s="1" t="s">
        <v>52</v>
      </c>
      <c r="W155" s="1" t="s">
        <v>52</v>
      </c>
      <c r="X155" s="1">
        <v>2.9</v>
      </c>
      <c r="Y155" s="2">
        <v>41053</v>
      </c>
      <c r="Z155" s="5">
        <v>0.15288246</v>
      </c>
      <c r="AA155" s="1">
        <v>0.5</v>
      </c>
      <c r="AB155" s="1">
        <f>Z155-AA155</f>
        <v>-0.34711754</v>
      </c>
      <c r="AC155" s="2">
        <v>41023</v>
      </c>
      <c r="AD155" s="5">
        <v>0.32800000000000001</v>
      </c>
      <c r="AE155" s="6">
        <v>0.32</v>
      </c>
      <c r="AF155" s="7">
        <f>AD155-AE155</f>
        <v>8.0000000000000071E-3</v>
      </c>
      <c r="AG155" s="8">
        <v>40477</v>
      </c>
      <c r="AH155" s="6">
        <v>49.9</v>
      </c>
      <c r="AI155" s="1">
        <v>49.2</v>
      </c>
      <c r="AJ155" s="1">
        <f>AH155-AI155</f>
        <v>0.69999999999999574</v>
      </c>
      <c r="AK155" s="2">
        <v>41460</v>
      </c>
      <c r="AL155" s="1">
        <v>0.41823504809703599</v>
      </c>
      <c r="AM155" s="1">
        <v>0.2</v>
      </c>
      <c r="AN155" s="4">
        <f>AL155-AM155</f>
        <v>0.21823504809703598</v>
      </c>
      <c r="AO155" s="2">
        <v>40466</v>
      </c>
      <c r="AP155" s="5">
        <v>0.10176484</v>
      </c>
      <c r="AQ155" s="1">
        <v>0.2</v>
      </c>
      <c r="AR155" s="4">
        <f>AP155-AQ155</f>
        <v>-9.8235160000000016E-2</v>
      </c>
      <c r="AS155" s="2">
        <v>40465</v>
      </c>
      <c r="AT155" s="5">
        <v>-46.347000000000001</v>
      </c>
      <c r="AU155" s="1">
        <v>-44</v>
      </c>
      <c r="AV155" s="4">
        <f>AT155-AU155</f>
        <v>-2.3470000000000013</v>
      </c>
      <c r="AW155" s="9">
        <v>40469</v>
      </c>
      <c r="AX155" s="4">
        <v>-0.2224887042549</v>
      </c>
      <c r="AY155" s="6">
        <v>0.2</v>
      </c>
      <c r="AZ155" s="4">
        <f>AX155-AY155</f>
        <v>-0.42248870425490004</v>
      </c>
    </row>
    <row r="156" spans="1:52" s="1" customFormat="1" x14ac:dyDescent="0.2">
      <c r="A156" s="2">
        <v>40487</v>
      </c>
      <c r="B156" s="1">
        <v>151</v>
      </c>
      <c r="C156" s="1">
        <v>60</v>
      </c>
      <c r="D156" s="1">
        <f>B156-C156</f>
        <v>91</v>
      </c>
      <c r="E156" s="2">
        <v>40487</v>
      </c>
      <c r="F156" s="1">
        <v>9.6</v>
      </c>
      <c r="G156" s="1">
        <v>9.6</v>
      </c>
      <c r="H156" s="1">
        <f>F156-G156</f>
        <v>0</v>
      </c>
      <c r="I156" s="2">
        <v>40499</v>
      </c>
      <c r="J156" s="1">
        <v>-7.2143240403909955E-3</v>
      </c>
      <c r="K156" s="1">
        <v>0.1</v>
      </c>
      <c r="L156" s="4">
        <f>J156-K156</f>
        <v>-0.107214324040391</v>
      </c>
      <c r="P156" s="4"/>
      <c r="Q156" s="2">
        <v>41743</v>
      </c>
      <c r="R156" s="4">
        <v>1.1384005053342099</v>
      </c>
      <c r="S156" s="1">
        <v>0.8</v>
      </c>
      <c r="T156" s="4">
        <f>R156-S156</f>
        <v>0.33840050533420984</v>
      </c>
      <c r="U156" s="2">
        <v>40513</v>
      </c>
      <c r="V156" s="1" t="s">
        <v>52</v>
      </c>
      <c r="W156" s="1" t="s">
        <v>52</v>
      </c>
      <c r="X156" s="1">
        <v>0.1</v>
      </c>
      <c r="Y156" s="2">
        <v>41087</v>
      </c>
      <c r="Z156" s="5">
        <v>1.08131508</v>
      </c>
      <c r="AA156" s="1">
        <v>0.4</v>
      </c>
      <c r="AB156" s="1">
        <f>Z156-AA156</f>
        <v>0.68131507999999996</v>
      </c>
      <c r="AC156" s="2">
        <v>41052</v>
      </c>
      <c r="AD156" s="5">
        <v>0.34300000000000003</v>
      </c>
      <c r="AE156" s="6">
        <v>0.33500000000000002</v>
      </c>
      <c r="AF156" s="7">
        <f>AD156-AE156</f>
        <v>8.0000000000000071E-3</v>
      </c>
      <c r="AG156" s="8">
        <v>40512</v>
      </c>
      <c r="AH156" s="6">
        <v>57.8</v>
      </c>
      <c r="AI156" s="1">
        <v>52.6</v>
      </c>
      <c r="AJ156" s="1">
        <f>AH156-AI156</f>
        <v>5.1999999999999957</v>
      </c>
      <c r="AK156" s="2">
        <v>41488</v>
      </c>
      <c r="AL156" s="1">
        <v>-8.3333333333331497E-2</v>
      </c>
      <c r="AM156" s="1">
        <v>0.2</v>
      </c>
      <c r="AN156" s="4">
        <f>AL156-AM156</f>
        <v>-0.28333333333333149</v>
      </c>
      <c r="AO156" s="2">
        <v>40499</v>
      </c>
      <c r="AP156" s="5">
        <v>0.23217262</v>
      </c>
      <c r="AQ156" s="1">
        <v>0.3</v>
      </c>
      <c r="AR156" s="4">
        <f>AP156-AQ156</f>
        <v>-6.7827379999999993E-2</v>
      </c>
      <c r="AS156" s="2">
        <v>40492</v>
      </c>
      <c r="AT156" s="5">
        <v>-44.003</v>
      </c>
      <c r="AU156" s="1">
        <v>-45.5</v>
      </c>
      <c r="AV156" s="4">
        <f>AT156-AU156</f>
        <v>1.4969999999999999</v>
      </c>
      <c r="AW156" s="9">
        <v>40498</v>
      </c>
      <c r="AX156" s="4">
        <v>9.6394523505808193E-3</v>
      </c>
      <c r="AY156" s="6">
        <v>0.3</v>
      </c>
      <c r="AZ156" s="4">
        <f>AX156-AY156</f>
        <v>-0.29036054764941915</v>
      </c>
    </row>
    <row r="157" spans="1:52" s="1" customFormat="1" x14ac:dyDescent="0.2">
      <c r="A157" s="2">
        <v>40515</v>
      </c>
      <c r="B157" s="1">
        <v>39</v>
      </c>
      <c r="C157" s="1">
        <v>140</v>
      </c>
      <c r="D157" s="1">
        <f>B157-C157</f>
        <v>-101</v>
      </c>
      <c r="E157" s="2">
        <v>40515</v>
      </c>
      <c r="F157" s="1">
        <v>9.8000000000000007</v>
      </c>
      <c r="G157" s="1">
        <v>9.6</v>
      </c>
      <c r="H157" s="1">
        <f>F157-G157</f>
        <v>0.20000000000000107</v>
      </c>
      <c r="I157" s="2">
        <v>40527</v>
      </c>
      <c r="J157" s="1">
        <v>9.7851329109648943E-2</v>
      </c>
      <c r="K157" s="1">
        <v>0.1</v>
      </c>
      <c r="L157" s="4">
        <f>J157-K157</f>
        <v>-2.1486708903510621E-3</v>
      </c>
      <c r="P157" s="4"/>
      <c r="Q157" s="2">
        <v>41772</v>
      </c>
      <c r="R157" s="4">
        <v>9.2821212065375594E-2</v>
      </c>
      <c r="S157" s="1">
        <v>0.4</v>
      </c>
      <c r="T157" s="4">
        <f>R157-S157</f>
        <v>-0.30717878793462444</v>
      </c>
      <c r="U157" s="2">
        <v>40546</v>
      </c>
      <c r="V157" s="1" t="s">
        <v>52</v>
      </c>
      <c r="W157" s="1" t="s">
        <v>52</v>
      </c>
      <c r="X157" s="1">
        <v>0</v>
      </c>
      <c r="Y157" s="2">
        <v>41116</v>
      </c>
      <c r="Z157" s="5">
        <v>1.57151565</v>
      </c>
      <c r="AA157" s="1">
        <v>0.4</v>
      </c>
      <c r="AB157" s="1">
        <f>Z157-AA157</f>
        <v>1.1715156499999999</v>
      </c>
      <c r="AC157" s="2">
        <v>41085</v>
      </c>
      <c r="AD157" s="5">
        <v>0.36899999999999999</v>
      </c>
      <c r="AE157" s="6">
        <v>0.34599999999999997</v>
      </c>
      <c r="AF157" s="7">
        <f>AD157-AE157</f>
        <v>2.300000000000002E-2</v>
      </c>
      <c r="AG157" s="8">
        <v>40540</v>
      </c>
      <c r="AH157" s="6">
        <v>63.4</v>
      </c>
      <c r="AI157" s="1">
        <v>56.1</v>
      </c>
      <c r="AJ157" s="1">
        <f>AH157-AI157</f>
        <v>7.2999999999999972</v>
      </c>
      <c r="AK157" s="2">
        <v>41523</v>
      </c>
      <c r="AL157" s="1">
        <v>0.20833333333333601</v>
      </c>
      <c r="AM157" s="1">
        <v>0.2</v>
      </c>
      <c r="AN157" s="4">
        <f>AL157-AM157</f>
        <v>8.333333333335996E-3</v>
      </c>
      <c r="AO157" s="2">
        <v>40527</v>
      </c>
      <c r="AP157" s="5">
        <v>0.12198521</v>
      </c>
      <c r="AQ157" s="1">
        <v>0.2</v>
      </c>
      <c r="AR157" s="4">
        <f>AP157-AQ157</f>
        <v>-7.8014790000000014E-2</v>
      </c>
      <c r="AS157" s="2">
        <v>40522</v>
      </c>
      <c r="AT157" s="5">
        <v>-38.713999999999999</v>
      </c>
      <c r="AU157" s="1">
        <v>-43.6</v>
      </c>
      <c r="AV157" s="4">
        <f>AT157-AU157</f>
        <v>4.8860000000000028</v>
      </c>
      <c r="AW157" s="9">
        <v>40527</v>
      </c>
      <c r="AX157" s="4">
        <v>0.41547425022138001</v>
      </c>
      <c r="AY157" s="6">
        <v>0.3</v>
      </c>
      <c r="AZ157" s="4">
        <f>AX157-AY157</f>
        <v>0.11547425022138003</v>
      </c>
    </row>
    <row r="158" spans="1:52" s="1" customFormat="1" x14ac:dyDescent="0.2">
      <c r="A158" s="2">
        <v>40550</v>
      </c>
      <c r="B158" s="1">
        <v>103</v>
      </c>
      <c r="C158" s="1">
        <v>175</v>
      </c>
      <c r="D158" s="1">
        <f>B158-C158</f>
        <v>-72</v>
      </c>
      <c r="E158" s="2">
        <v>40550</v>
      </c>
      <c r="F158" s="1">
        <v>9.4</v>
      </c>
      <c r="G158" s="1">
        <v>9.6999999999999993</v>
      </c>
      <c r="H158" s="1">
        <f>F158-G158</f>
        <v>-0.29999999999999893</v>
      </c>
      <c r="I158" s="2">
        <v>40557</v>
      </c>
      <c r="J158" s="1">
        <v>9.2349830166415528E-2</v>
      </c>
      <c r="K158" s="1">
        <v>0.1</v>
      </c>
      <c r="L158" s="4">
        <f>J158-K158</f>
        <v>-7.6501698335844776E-3</v>
      </c>
      <c r="P158" s="4"/>
      <c r="Q158" s="2">
        <v>41802</v>
      </c>
      <c r="R158" s="4">
        <v>0.33724841062229299</v>
      </c>
      <c r="S158" s="1">
        <v>0.6</v>
      </c>
      <c r="T158" s="4">
        <f>R158-S158</f>
        <v>-0.26275158937770698</v>
      </c>
      <c r="U158" s="2">
        <v>40575</v>
      </c>
      <c r="V158" s="1" t="s">
        <v>52</v>
      </c>
      <c r="W158" s="1" t="s">
        <v>52</v>
      </c>
      <c r="X158" s="1">
        <v>2.8</v>
      </c>
      <c r="Y158" s="2">
        <v>41145</v>
      </c>
      <c r="Z158" s="5">
        <v>4.2262746399999997</v>
      </c>
      <c r="AA158" s="1">
        <v>2.4</v>
      </c>
      <c r="AB158" s="1">
        <f>Z158-AA158</f>
        <v>1.8262746399999998</v>
      </c>
      <c r="AC158" s="2">
        <v>41115</v>
      </c>
      <c r="AD158" s="5">
        <v>0.35</v>
      </c>
      <c r="AE158" s="6">
        <v>0.37</v>
      </c>
      <c r="AF158" s="7">
        <f>AD158-AE158</f>
        <v>-2.0000000000000018E-2</v>
      </c>
      <c r="AG158" s="8">
        <v>40568</v>
      </c>
      <c r="AH158" s="6">
        <v>64.8</v>
      </c>
      <c r="AI158" s="1">
        <v>54.3</v>
      </c>
      <c r="AJ158" s="1">
        <f>AH158-AI158</f>
        <v>10.5</v>
      </c>
      <c r="AK158" s="2">
        <v>41569</v>
      </c>
      <c r="AL158" s="1">
        <v>0.12468827930175</v>
      </c>
      <c r="AM158" s="1">
        <v>0.2</v>
      </c>
      <c r="AN158" s="4">
        <f>AL158-AM158</f>
        <v>-7.5311720698250012E-2</v>
      </c>
      <c r="AO158" s="2">
        <v>40557</v>
      </c>
      <c r="AP158" s="5">
        <v>0.50468637000000005</v>
      </c>
      <c r="AQ158" s="1">
        <v>0.4</v>
      </c>
      <c r="AR158" s="4">
        <f>AP158-AQ158</f>
        <v>0.10468637000000003</v>
      </c>
      <c r="AS158" s="2">
        <v>40556</v>
      </c>
      <c r="AT158" s="5">
        <v>-38.308999999999997</v>
      </c>
      <c r="AU158" s="1">
        <v>-40.5</v>
      </c>
      <c r="AV158" s="4">
        <f>AT158-AU158</f>
        <v>2.1910000000000025</v>
      </c>
      <c r="AW158" s="9">
        <v>40557</v>
      </c>
      <c r="AX158" s="4">
        <v>0.841697339709229</v>
      </c>
      <c r="AY158" s="6">
        <v>0.5</v>
      </c>
      <c r="AZ158" s="4">
        <f>AX158-AY158</f>
        <v>0.341697339709229</v>
      </c>
    </row>
    <row r="159" spans="1:52" s="1" customFormat="1" x14ac:dyDescent="0.2">
      <c r="A159" s="2">
        <v>40578</v>
      </c>
      <c r="B159" s="1">
        <v>36</v>
      </c>
      <c r="C159" s="1">
        <v>145</v>
      </c>
      <c r="D159" s="1">
        <f>B159-C159</f>
        <v>-109</v>
      </c>
      <c r="E159" s="2">
        <v>40578</v>
      </c>
      <c r="F159" s="1">
        <v>9</v>
      </c>
      <c r="G159" s="1">
        <v>9.5</v>
      </c>
      <c r="H159" s="1">
        <f>F159-G159</f>
        <v>-0.5</v>
      </c>
      <c r="I159" s="2">
        <v>40591</v>
      </c>
      <c r="J159" s="1">
        <v>0.18002853452271159</v>
      </c>
      <c r="K159" s="1">
        <v>0.1</v>
      </c>
      <c r="L159" s="4">
        <f>J159-K159</f>
        <v>8.0028534522711581E-2</v>
      </c>
      <c r="P159" s="4"/>
      <c r="Q159" s="2">
        <v>41835</v>
      </c>
      <c r="R159" s="4">
        <v>0.24543428422976399</v>
      </c>
      <c r="S159" s="1">
        <v>0.6</v>
      </c>
      <c r="T159" s="4">
        <f>R159-S159</f>
        <v>-0.35456571577023599</v>
      </c>
      <c r="U159" s="2">
        <v>40603</v>
      </c>
      <c r="V159" s="1" t="s">
        <v>52</v>
      </c>
      <c r="W159" s="1" t="s">
        <v>52</v>
      </c>
      <c r="X159" s="1">
        <v>0.4</v>
      </c>
      <c r="Y159" s="2">
        <v>41179</v>
      </c>
      <c r="Z159" s="5">
        <v>-13.178464</v>
      </c>
      <c r="AA159" s="1">
        <v>-5</v>
      </c>
      <c r="AB159" s="1">
        <f>Z159-AA159</f>
        <v>-8.178464</v>
      </c>
      <c r="AC159" s="2">
        <v>41144</v>
      </c>
      <c r="AD159" s="5">
        <v>0.372</v>
      </c>
      <c r="AE159" s="6">
        <v>0.36499999999999999</v>
      </c>
      <c r="AF159" s="7">
        <f>AD159-AE159</f>
        <v>7.0000000000000062E-3</v>
      </c>
      <c r="AG159" s="8">
        <v>40596</v>
      </c>
      <c r="AH159" s="6">
        <v>72</v>
      </c>
      <c r="AI159" s="1">
        <v>65</v>
      </c>
      <c r="AJ159" s="1">
        <f>AH159-AI159</f>
        <v>7</v>
      </c>
      <c r="AK159" s="2">
        <v>41586</v>
      </c>
      <c r="AL159" s="1">
        <v>8.3056478405328593E-2</v>
      </c>
      <c r="AM159" s="1">
        <v>0.2</v>
      </c>
      <c r="AN159" s="4">
        <f>AL159-AM159</f>
        <v>-0.11694352159467142</v>
      </c>
      <c r="AO159" s="2">
        <v>40591</v>
      </c>
      <c r="AP159" s="5">
        <v>0.39784545999999998</v>
      </c>
      <c r="AQ159" s="1">
        <v>0.3</v>
      </c>
      <c r="AR159" s="4">
        <f>AP159-AQ159</f>
        <v>9.7845459999999995E-2</v>
      </c>
      <c r="AS159" s="2">
        <v>40585</v>
      </c>
      <c r="AT159" s="5">
        <v>-40.582999999999998</v>
      </c>
      <c r="AU159" s="1">
        <v>-40.4</v>
      </c>
      <c r="AV159" s="4">
        <f>AT159-AU159</f>
        <v>-0.18299999999999983</v>
      </c>
      <c r="AW159" s="9">
        <v>40590</v>
      </c>
      <c r="AX159" s="4">
        <v>-5.6513198668048402E-2</v>
      </c>
      <c r="AY159" s="6">
        <v>0.5</v>
      </c>
      <c r="AZ159" s="4">
        <f>AX159-AY159</f>
        <v>-0.55651319866804838</v>
      </c>
    </row>
    <row r="160" spans="1:52" s="1" customFormat="1" x14ac:dyDescent="0.2">
      <c r="A160" s="2">
        <v>40606</v>
      </c>
      <c r="B160" s="1">
        <v>192</v>
      </c>
      <c r="C160" s="1">
        <v>185</v>
      </c>
      <c r="D160" s="1">
        <f>B160-C160</f>
        <v>7</v>
      </c>
      <c r="E160" s="2">
        <v>40606</v>
      </c>
      <c r="F160" s="1">
        <v>8.9</v>
      </c>
      <c r="G160" s="1">
        <v>9.1</v>
      </c>
      <c r="H160" s="1">
        <f>F160-G160</f>
        <v>-0.19999999999999929</v>
      </c>
      <c r="I160" s="2">
        <v>40619</v>
      </c>
      <c r="J160" s="1">
        <v>0.19857404071217422</v>
      </c>
      <c r="K160" s="1">
        <v>0.1</v>
      </c>
      <c r="L160" s="4">
        <f>J160-K160</f>
        <v>9.857404071217421E-2</v>
      </c>
      <c r="P160" s="4"/>
      <c r="Q160" s="2">
        <v>41864</v>
      </c>
      <c r="R160" s="4">
        <v>3.66207883250197E-2</v>
      </c>
      <c r="S160" s="1">
        <v>0.2</v>
      </c>
      <c r="T160" s="4">
        <f>R160-S160</f>
        <v>-0.16337921167498032</v>
      </c>
      <c r="U160" s="2">
        <v>40634</v>
      </c>
      <c r="V160" s="1" t="s">
        <v>52</v>
      </c>
      <c r="W160" s="1" t="s">
        <v>52</v>
      </c>
      <c r="X160" s="1">
        <v>0.2</v>
      </c>
      <c r="Y160" s="2">
        <v>41207</v>
      </c>
      <c r="Z160" s="5">
        <v>9.8865575999999997</v>
      </c>
      <c r="AA160" s="1">
        <v>7.1</v>
      </c>
      <c r="AB160" s="1">
        <f>Z160-AA160</f>
        <v>2.7865576000000001</v>
      </c>
      <c r="AC160" s="2">
        <v>41178</v>
      </c>
      <c r="AD160" s="5">
        <v>0.373</v>
      </c>
      <c r="AE160" s="6">
        <v>0.38</v>
      </c>
      <c r="AF160" s="7">
        <f>AD160-AE160</f>
        <v>-7.0000000000000062E-3</v>
      </c>
      <c r="AG160" s="8">
        <v>40631</v>
      </c>
      <c r="AH160" s="6">
        <v>63.8</v>
      </c>
      <c r="AI160" s="1">
        <v>65</v>
      </c>
      <c r="AJ160" s="1">
        <f>AH160-AI160</f>
        <v>-1.2000000000000028</v>
      </c>
      <c r="AK160" s="2">
        <v>41614</v>
      </c>
      <c r="AL160" s="1">
        <v>0.165906262961423</v>
      </c>
      <c r="AM160" s="1">
        <v>0.2</v>
      </c>
      <c r="AN160" s="4">
        <f>AL160-AM160</f>
        <v>-3.4093737038577016E-2</v>
      </c>
      <c r="AO160" s="2">
        <v>40619</v>
      </c>
      <c r="AP160" s="5">
        <v>0.54645303000000001</v>
      </c>
      <c r="AQ160" s="1">
        <v>0.4</v>
      </c>
      <c r="AR160" s="4">
        <f>AP160-AQ160</f>
        <v>0.14645302999999998</v>
      </c>
      <c r="AS160" s="2">
        <v>40612</v>
      </c>
      <c r="AT160" s="5">
        <v>-46.341000000000001</v>
      </c>
      <c r="AU160" s="1">
        <v>-41.3</v>
      </c>
      <c r="AV160" s="4">
        <f>AT160-AU160</f>
        <v>-5.0410000000000039</v>
      </c>
      <c r="AW160" s="9">
        <v>40619</v>
      </c>
      <c r="AX160" s="4">
        <v>-8.1098757357750698E-2</v>
      </c>
      <c r="AY160" s="6">
        <v>0.6</v>
      </c>
      <c r="AZ160" s="4">
        <f>AX160-AY160</f>
        <v>-0.68109875735775072</v>
      </c>
    </row>
    <row r="161" spans="1:52" s="1" customFormat="1" x14ac:dyDescent="0.2">
      <c r="A161" s="2">
        <v>40634</v>
      </c>
      <c r="B161" s="1">
        <v>216</v>
      </c>
      <c r="C161" s="1">
        <v>190</v>
      </c>
      <c r="D161" s="1">
        <f>B161-C161</f>
        <v>26</v>
      </c>
      <c r="E161" s="2">
        <v>40634</v>
      </c>
      <c r="F161" s="1">
        <v>8.8000000000000007</v>
      </c>
      <c r="G161" s="1">
        <v>8.9</v>
      </c>
      <c r="H161" s="1">
        <f>F161-G161</f>
        <v>-9.9999999999999645E-2</v>
      </c>
      <c r="I161" s="2">
        <v>40648</v>
      </c>
      <c r="J161" s="1">
        <v>0.13540839980450636</v>
      </c>
      <c r="K161" s="1">
        <v>0.2</v>
      </c>
      <c r="L161" s="4">
        <f>J161-K161</f>
        <v>-6.4591600195493648E-2</v>
      </c>
      <c r="P161" s="4"/>
      <c r="Q161" s="2">
        <v>41894</v>
      </c>
      <c r="R161" s="4">
        <v>0.57669369824072203</v>
      </c>
      <c r="S161" s="1">
        <v>0.6</v>
      </c>
      <c r="T161" s="4">
        <f>R161-S161</f>
        <v>-2.3306301759277948E-2</v>
      </c>
      <c r="U161" s="2">
        <v>40665</v>
      </c>
      <c r="V161" s="1" t="s">
        <v>52</v>
      </c>
      <c r="W161" s="1" t="s">
        <v>52</v>
      </c>
      <c r="X161" s="1">
        <v>0.4</v>
      </c>
      <c r="Y161" s="2">
        <v>41240</v>
      </c>
      <c r="Z161" s="5">
        <v>2.2130009999999999E-2</v>
      </c>
      <c r="AA161" s="1">
        <v>-0.6</v>
      </c>
      <c r="AB161" s="4">
        <f>Z161-AA161</f>
        <v>0.62213001000000001</v>
      </c>
      <c r="AC161" s="2">
        <v>41206</v>
      </c>
      <c r="AD161" s="5">
        <v>0.38900000000000001</v>
      </c>
      <c r="AE161" s="6">
        <v>0.38500000000000001</v>
      </c>
      <c r="AF161" s="7">
        <f>AD161-AE161</f>
        <v>4.0000000000000036E-3</v>
      </c>
      <c r="AG161" s="8">
        <v>40659</v>
      </c>
      <c r="AH161" s="6">
        <v>66</v>
      </c>
      <c r="AI161" s="1">
        <v>64.5</v>
      </c>
      <c r="AJ161" s="1">
        <f>AH161-AI161</f>
        <v>1.5</v>
      </c>
      <c r="AK161" s="2">
        <v>41649</v>
      </c>
      <c r="AL161" s="1">
        <v>8.2815734989660994E-2</v>
      </c>
      <c r="AM161" s="1">
        <v>0.2</v>
      </c>
      <c r="AN161" s="4">
        <f>AL161-AM161</f>
        <v>-0.11718426501033902</v>
      </c>
      <c r="AO161" s="2">
        <v>40648</v>
      </c>
      <c r="AP161" s="5">
        <v>0.54888199000000004</v>
      </c>
      <c r="AQ161" s="1">
        <v>0.5</v>
      </c>
      <c r="AR161" s="4">
        <f>AP161-AQ161</f>
        <v>4.8881990000000042E-2</v>
      </c>
      <c r="AS161" s="2">
        <v>40645</v>
      </c>
      <c r="AT161" s="5">
        <v>-45.758000000000003</v>
      </c>
      <c r="AU161" s="1">
        <v>-44.5</v>
      </c>
      <c r="AV161" s="4">
        <f>AT161-AU161</f>
        <v>-1.2580000000000027</v>
      </c>
      <c r="AW161" s="9">
        <v>40648</v>
      </c>
      <c r="AX161" s="4">
        <v>0.79980354946481802</v>
      </c>
      <c r="AY161" s="6">
        <v>0.5</v>
      </c>
      <c r="AZ161" s="4">
        <f>AX161-AY161</f>
        <v>0.29980354946481802</v>
      </c>
    </row>
    <row r="162" spans="1:52" s="1" customFormat="1" x14ac:dyDescent="0.2">
      <c r="A162" s="2">
        <v>40669</v>
      </c>
      <c r="B162" s="1">
        <v>244</v>
      </c>
      <c r="C162" s="1">
        <v>186</v>
      </c>
      <c r="D162" s="1">
        <f>B162-C162</f>
        <v>58</v>
      </c>
      <c r="E162" s="2">
        <v>40669</v>
      </c>
      <c r="F162" s="1">
        <v>9</v>
      </c>
      <c r="G162" s="1">
        <v>8.8000000000000007</v>
      </c>
      <c r="H162" s="1">
        <f>F162-G162</f>
        <v>0.19999999999999929</v>
      </c>
      <c r="I162" s="2">
        <v>40676</v>
      </c>
      <c r="J162" s="1">
        <v>0.18537507108283924</v>
      </c>
      <c r="K162" s="1">
        <v>0.2</v>
      </c>
      <c r="L162" s="4">
        <f>J162-K162</f>
        <v>-1.4624928917160773E-2</v>
      </c>
      <c r="P162" s="4"/>
      <c r="Q162" s="2">
        <v>41927</v>
      </c>
      <c r="R162" s="4">
        <v>-0.324903407095187</v>
      </c>
      <c r="S162" s="1">
        <v>-0.1</v>
      </c>
      <c r="T162" s="4">
        <f>R162-S162</f>
        <v>-0.224903407095187</v>
      </c>
      <c r="U162" s="2">
        <v>40695</v>
      </c>
      <c r="V162" s="1" t="s">
        <v>52</v>
      </c>
      <c r="W162" s="1" t="s">
        <v>52</v>
      </c>
      <c r="X162" s="1">
        <v>-4.2</v>
      </c>
      <c r="Y162" s="2">
        <v>41264</v>
      </c>
      <c r="Z162" s="5">
        <v>0.74599302000000001</v>
      </c>
      <c r="AA162" s="1">
        <v>0.2</v>
      </c>
      <c r="AB162" s="4">
        <f>Z162-AA162</f>
        <v>0.54599302000000005</v>
      </c>
      <c r="AC162" s="2">
        <v>41241</v>
      </c>
      <c r="AD162" s="5">
        <v>0.36799999999999999</v>
      </c>
      <c r="AE162" s="6">
        <v>0.39</v>
      </c>
      <c r="AF162" s="7">
        <f>AD162-AE162</f>
        <v>-2.200000000000002E-2</v>
      </c>
      <c r="AG162" s="8">
        <v>40694</v>
      </c>
      <c r="AH162" s="6">
        <v>61.7</v>
      </c>
      <c r="AI162" s="1">
        <v>66.5</v>
      </c>
      <c r="AJ162" s="1">
        <f>AH162-AI162</f>
        <v>-4.7999999999999972</v>
      </c>
      <c r="AK162" s="2">
        <v>41677</v>
      </c>
      <c r="AL162" s="1">
        <v>0.20695364238410799</v>
      </c>
      <c r="AM162" s="1">
        <v>0.2</v>
      </c>
      <c r="AN162" s="4">
        <f>AL162-AM162</f>
        <v>6.9536423841079775E-3</v>
      </c>
      <c r="AO162" s="2">
        <v>40676</v>
      </c>
      <c r="AP162" s="5">
        <v>0.42194282</v>
      </c>
      <c r="AQ162" s="1">
        <v>0.4</v>
      </c>
      <c r="AR162" s="4">
        <f>AP162-AQ162</f>
        <v>2.1942819999999974E-2</v>
      </c>
      <c r="AS162" s="2">
        <v>40674</v>
      </c>
      <c r="AT162" s="5">
        <v>-48.179000000000002</v>
      </c>
      <c r="AU162" s="1">
        <v>-47</v>
      </c>
      <c r="AV162" s="4">
        <f>AT162-AU162</f>
        <v>-1.179000000000002</v>
      </c>
      <c r="AW162" s="9">
        <v>40680</v>
      </c>
      <c r="AX162" s="4">
        <v>-1.22437932560423E-2</v>
      </c>
      <c r="AY162" s="6">
        <v>0.4</v>
      </c>
      <c r="AZ162" s="4">
        <f>AX162-AY162</f>
        <v>-0.41224379325604232</v>
      </c>
    </row>
    <row r="163" spans="1:52" s="1" customFormat="1" x14ac:dyDescent="0.2">
      <c r="A163" s="2">
        <v>40697</v>
      </c>
      <c r="B163" s="1">
        <v>54</v>
      </c>
      <c r="C163" s="1">
        <v>150</v>
      </c>
      <c r="D163" s="1">
        <f>B163-C163</f>
        <v>-96</v>
      </c>
      <c r="E163" s="2">
        <v>40697</v>
      </c>
      <c r="F163" s="1">
        <v>9.1</v>
      </c>
      <c r="G163" s="1">
        <v>8.9</v>
      </c>
      <c r="H163" s="1">
        <f>F163-G163</f>
        <v>0.19999999999999929</v>
      </c>
      <c r="I163" s="2">
        <v>40709</v>
      </c>
      <c r="J163" s="1">
        <v>0.28693378622985805</v>
      </c>
      <c r="K163" s="1">
        <v>0.2</v>
      </c>
      <c r="L163" s="4">
        <f>J163-K163</f>
        <v>8.6933786229858034E-2</v>
      </c>
      <c r="P163" s="4"/>
      <c r="Q163" s="2">
        <v>41957</v>
      </c>
      <c r="R163" s="4">
        <v>0.33611586403673099</v>
      </c>
      <c r="S163" s="1">
        <v>0.2</v>
      </c>
      <c r="T163" s="4">
        <f>R163-S163</f>
        <v>0.13611586403673098</v>
      </c>
      <c r="U163" s="2">
        <v>40725</v>
      </c>
      <c r="V163" s="1" t="s">
        <v>52</v>
      </c>
      <c r="W163" s="1" t="s">
        <v>52</v>
      </c>
      <c r="X163" s="1">
        <v>3.5</v>
      </c>
      <c r="Y163" s="2">
        <v>41302</v>
      </c>
      <c r="Z163" s="5">
        <v>4.5519628799999996</v>
      </c>
      <c r="AA163" s="1">
        <v>1.8</v>
      </c>
      <c r="AB163" s="4">
        <f>Z163-AA163</f>
        <v>2.7519628799999998</v>
      </c>
      <c r="AC163" s="2">
        <v>41270</v>
      </c>
      <c r="AD163" s="5">
        <v>0.377</v>
      </c>
      <c r="AE163" s="6">
        <v>0.378</v>
      </c>
      <c r="AF163" s="7">
        <f>AD163-AE163</f>
        <v>-1.0000000000000009E-3</v>
      </c>
      <c r="AG163" s="8">
        <v>40722</v>
      </c>
      <c r="AH163" s="6">
        <v>57.6</v>
      </c>
      <c r="AI163" s="1">
        <v>60.5</v>
      </c>
      <c r="AJ163" s="1">
        <f>AH163-AI163</f>
        <v>-2.8999999999999986</v>
      </c>
      <c r="AK163" s="2">
        <v>41705</v>
      </c>
      <c r="AL163" s="1">
        <v>0.37159372419487902</v>
      </c>
      <c r="AM163" s="1">
        <v>0.2</v>
      </c>
      <c r="AN163" s="4">
        <f>AL163-AM163</f>
        <v>0.171593724194879</v>
      </c>
      <c r="AO163" s="2">
        <v>40709</v>
      </c>
      <c r="AP163" s="5">
        <v>0.16530545999999999</v>
      </c>
      <c r="AQ163" s="1">
        <v>0.1</v>
      </c>
      <c r="AR163" s="4">
        <f>AP163-AQ163</f>
        <v>6.5305459999999982E-2</v>
      </c>
      <c r="AS163" s="2">
        <v>40703</v>
      </c>
      <c r="AT163" s="5">
        <v>-43.68</v>
      </c>
      <c r="AU163" s="1">
        <v>-48.8</v>
      </c>
      <c r="AV163" s="4">
        <f>AT163-AU163</f>
        <v>5.1199999999999974</v>
      </c>
      <c r="AW163" s="9">
        <v>40709</v>
      </c>
      <c r="AX163" s="4">
        <v>0.10367636609491999</v>
      </c>
      <c r="AY163" s="6">
        <v>0.2</v>
      </c>
      <c r="AZ163" s="4">
        <f>AX163-AY163</f>
        <v>-9.6323633905080017E-2</v>
      </c>
    </row>
    <row r="164" spans="1:52" s="1" customFormat="1" x14ac:dyDescent="0.2">
      <c r="A164" s="2">
        <v>40732</v>
      </c>
      <c r="B164" s="1">
        <v>18</v>
      </c>
      <c r="C164" s="1">
        <v>90</v>
      </c>
      <c r="D164" s="1">
        <f>B164-C164</f>
        <v>-72</v>
      </c>
      <c r="E164" s="2">
        <v>40732</v>
      </c>
      <c r="F164" s="1">
        <v>9.1999999999999993</v>
      </c>
      <c r="G164" s="1">
        <v>9.1</v>
      </c>
      <c r="H164" s="1">
        <f>F164-G164</f>
        <v>9.9999999999999645E-2</v>
      </c>
      <c r="I164" s="2">
        <v>40739</v>
      </c>
      <c r="J164" s="1">
        <v>0.25447107007090336</v>
      </c>
      <c r="K164" s="1">
        <v>0.2</v>
      </c>
      <c r="L164" s="4">
        <f>J164-K164</f>
        <v>5.4471070070903349E-2</v>
      </c>
      <c r="P164" s="4"/>
      <c r="Q164" s="2">
        <v>41984</v>
      </c>
      <c r="R164" s="4">
        <v>0.72096954262373703</v>
      </c>
      <c r="S164" s="1">
        <v>0.4</v>
      </c>
      <c r="T164" s="4">
        <f>R164-S164</f>
        <v>0.320969542623737</v>
      </c>
      <c r="U164" s="2">
        <v>40756</v>
      </c>
      <c r="V164" s="1" t="s">
        <v>52</v>
      </c>
      <c r="W164" s="1" t="s">
        <v>52</v>
      </c>
      <c r="X164" s="1">
        <v>-4</v>
      </c>
      <c r="Y164" s="2">
        <v>41332</v>
      </c>
      <c r="Z164" s="5">
        <v>-5.1515522000000002</v>
      </c>
      <c r="AA164" s="1">
        <v>-4.4000000000000004</v>
      </c>
      <c r="AB164" s="4">
        <f>Z164-AA164</f>
        <v>-0.75155219999999989</v>
      </c>
      <c r="AC164" s="2">
        <v>41299</v>
      </c>
      <c r="AD164" s="5">
        <v>0.36899999999999999</v>
      </c>
      <c r="AE164" s="6">
        <v>0.38500000000000001</v>
      </c>
      <c r="AF164" s="7">
        <f>AD164-AE164</f>
        <v>-1.6000000000000014E-2</v>
      </c>
      <c r="AG164" s="8">
        <v>40750</v>
      </c>
      <c r="AH164" s="6">
        <v>59.2</v>
      </c>
      <c r="AI164" s="1">
        <v>56</v>
      </c>
      <c r="AJ164" s="1">
        <f>AH164-AI164</f>
        <v>3.2000000000000028</v>
      </c>
      <c r="AK164" s="2">
        <v>41733</v>
      </c>
      <c r="AL164" s="1">
        <v>-4.1135335252974102E-2</v>
      </c>
      <c r="AM164" s="1">
        <v>0.2</v>
      </c>
      <c r="AN164" s="4">
        <f>AL164-AM164</f>
        <v>-0.24113533525297412</v>
      </c>
      <c r="AO164" s="2">
        <v>40739</v>
      </c>
      <c r="AP164" s="5">
        <v>-0.222416</v>
      </c>
      <c r="AQ164" s="1">
        <v>-0.1</v>
      </c>
      <c r="AR164" s="4">
        <f>AP164-AQ164</f>
        <v>-0.122416</v>
      </c>
      <c r="AS164" s="2">
        <v>40736</v>
      </c>
      <c r="AT164" s="5">
        <v>-50.226999999999997</v>
      </c>
      <c r="AU164" s="1">
        <v>-44</v>
      </c>
      <c r="AV164" s="4">
        <f>AT164-AU164</f>
        <v>-6.2269999999999968</v>
      </c>
      <c r="AW164" s="9">
        <v>40739</v>
      </c>
      <c r="AX164" s="4">
        <v>0.19377758639249901</v>
      </c>
      <c r="AY164" s="6">
        <v>0.3</v>
      </c>
      <c r="AZ164" s="4">
        <f>AX164-AY164</f>
        <v>-0.10622241360750098</v>
      </c>
    </row>
    <row r="165" spans="1:52" s="1" customFormat="1" x14ac:dyDescent="0.2">
      <c r="A165" s="2">
        <v>40760</v>
      </c>
      <c r="B165" s="1">
        <v>117</v>
      </c>
      <c r="C165" s="1">
        <v>85</v>
      </c>
      <c r="D165" s="1">
        <f>B165-C165</f>
        <v>32</v>
      </c>
      <c r="E165" s="2">
        <v>40760</v>
      </c>
      <c r="F165" s="1">
        <v>9.1</v>
      </c>
      <c r="G165" s="1">
        <v>9.1999999999999993</v>
      </c>
      <c r="H165" s="1">
        <f>F165-G165</f>
        <v>-9.9999999999999645E-2</v>
      </c>
      <c r="I165" s="2">
        <v>40773</v>
      </c>
      <c r="J165" s="1">
        <v>0.22448634856284083</v>
      </c>
      <c r="K165" s="1">
        <v>0.2</v>
      </c>
      <c r="L165" s="4">
        <f>J165-K165</f>
        <v>2.4486348562840821E-2</v>
      </c>
      <c r="P165" s="4"/>
      <c r="Q165" s="2">
        <v>42018</v>
      </c>
      <c r="R165" s="4">
        <v>-0.937106510318236</v>
      </c>
      <c r="S165" s="1">
        <v>-0.1</v>
      </c>
      <c r="T165" s="4">
        <f>R165-S165</f>
        <v>-0.83710651031823602</v>
      </c>
      <c r="U165" s="2">
        <v>40787</v>
      </c>
      <c r="V165" s="1" t="s">
        <v>52</v>
      </c>
      <c r="W165" s="1" t="s">
        <v>52</v>
      </c>
      <c r="X165" s="1">
        <v>2.1</v>
      </c>
      <c r="Y165" s="2">
        <v>41359</v>
      </c>
      <c r="Z165" s="5">
        <v>5.6534722000000004</v>
      </c>
      <c r="AA165" s="1">
        <v>3.8</v>
      </c>
      <c r="AB165" s="4">
        <f>Z165-AA165</f>
        <v>1.8534722000000006</v>
      </c>
      <c r="AC165" s="2">
        <v>41331</v>
      </c>
      <c r="AD165" s="5">
        <v>0.437</v>
      </c>
      <c r="AE165" s="6">
        <v>0.38100000000000001</v>
      </c>
      <c r="AF165" s="7">
        <f>AD165-AE165</f>
        <v>5.5999999999999994E-2</v>
      </c>
      <c r="AG165" s="8">
        <v>40785</v>
      </c>
      <c r="AH165" s="6">
        <v>45.2</v>
      </c>
      <c r="AI165" s="1">
        <v>52</v>
      </c>
      <c r="AJ165" s="1">
        <f>AH165-AI165</f>
        <v>-6.7999999999999972</v>
      </c>
      <c r="AK165" s="2">
        <v>41761</v>
      </c>
      <c r="AL165" s="1">
        <v>0</v>
      </c>
      <c r="AM165" s="1">
        <v>0.2</v>
      </c>
      <c r="AN165" s="4">
        <f>AL165-AM165</f>
        <v>-0.2</v>
      </c>
      <c r="AO165" s="2">
        <v>40773</v>
      </c>
      <c r="AP165" s="5">
        <v>0.49976817000000001</v>
      </c>
      <c r="AQ165" s="1">
        <v>0.2</v>
      </c>
      <c r="AR165" s="4">
        <f>AP165-AQ165</f>
        <v>0.29976817</v>
      </c>
      <c r="AS165" s="2">
        <v>40766</v>
      </c>
      <c r="AT165" s="5">
        <v>-53.067</v>
      </c>
      <c r="AU165" s="1">
        <v>-48</v>
      </c>
      <c r="AV165" s="4">
        <f>AT165-AU165</f>
        <v>-5.0670000000000002</v>
      </c>
      <c r="AW165" s="9">
        <v>40771</v>
      </c>
      <c r="AX165" s="4">
        <v>0.90560780215952497</v>
      </c>
      <c r="AY165" s="6">
        <v>0.5</v>
      </c>
      <c r="AZ165" s="4">
        <f>AX165-AY165</f>
        <v>0.40560780215952497</v>
      </c>
    </row>
    <row r="166" spans="1:52" s="1" customFormat="1" x14ac:dyDescent="0.2">
      <c r="A166" s="2">
        <v>40788</v>
      </c>
      <c r="B166" s="1">
        <v>0</v>
      </c>
      <c r="C166" s="1">
        <v>75</v>
      </c>
      <c r="D166" s="1">
        <f>B166-C166</f>
        <v>-75</v>
      </c>
      <c r="E166" s="2">
        <v>40788</v>
      </c>
      <c r="F166" s="1">
        <v>9.1</v>
      </c>
      <c r="G166" s="1">
        <v>9.1</v>
      </c>
      <c r="H166" s="1">
        <f>F166-G166</f>
        <v>0</v>
      </c>
      <c r="I166" s="2">
        <v>40801</v>
      </c>
      <c r="J166" s="1">
        <v>0.24438599681544915</v>
      </c>
      <c r="K166" s="1">
        <v>0.2</v>
      </c>
      <c r="L166" s="4">
        <f>J166-K166</f>
        <v>4.4385996815449136E-2</v>
      </c>
      <c r="P166" s="4"/>
      <c r="Q166" s="2">
        <v>42047</v>
      </c>
      <c r="R166" s="4">
        <v>-0.79047995036940899</v>
      </c>
      <c r="S166" s="1">
        <v>-0.5</v>
      </c>
      <c r="T166" s="4">
        <f>R166-S166</f>
        <v>-0.29047995036940899</v>
      </c>
      <c r="U166" s="2">
        <v>40819</v>
      </c>
      <c r="V166" s="1" t="s">
        <v>52</v>
      </c>
      <c r="W166" s="1" t="s">
        <v>52</v>
      </c>
      <c r="X166" s="1">
        <v>1.1000000000000001</v>
      </c>
      <c r="Y166" s="2">
        <v>41388</v>
      </c>
      <c r="Z166" s="5">
        <v>-5.7234771999999996</v>
      </c>
      <c r="AA166" s="1">
        <v>-2.8</v>
      </c>
      <c r="AB166" s="4">
        <f>Z166-AA166</f>
        <v>-2.9234771999999998</v>
      </c>
      <c r="AC166" s="2">
        <v>41359</v>
      </c>
      <c r="AD166" s="5">
        <v>0.41099999999999998</v>
      </c>
      <c r="AE166" s="6">
        <v>0.42199999999999999</v>
      </c>
      <c r="AF166" s="7">
        <f>AD166-AE166</f>
        <v>-1.100000000000001E-2</v>
      </c>
      <c r="AG166" s="8">
        <v>40813</v>
      </c>
      <c r="AH166" s="6">
        <v>46.4</v>
      </c>
      <c r="AI166" s="1">
        <v>46</v>
      </c>
      <c r="AJ166" s="1">
        <f>AH166-AI166</f>
        <v>0.39999999999999858</v>
      </c>
      <c r="AK166" s="2">
        <v>41796</v>
      </c>
      <c r="AL166" s="1">
        <v>0.205507603781342</v>
      </c>
      <c r="AM166" s="1">
        <v>0.2</v>
      </c>
      <c r="AN166" s="4">
        <f>AL166-AM166</f>
        <v>5.5076037813419909E-3</v>
      </c>
      <c r="AO166" s="2">
        <v>40801</v>
      </c>
      <c r="AP166" s="5">
        <v>0.37396030000000002</v>
      </c>
      <c r="AQ166" s="1">
        <v>0.2</v>
      </c>
      <c r="AR166" s="4">
        <f>AP166-AQ166</f>
        <v>0.17396030000000001</v>
      </c>
      <c r="AS166" s="2">
        <v>40794</v>
      </c>
      <c r="AT166" s="5">
        <v>-44.808</v>
      </c>
      <c r="AU166" s="1">
        <v>-51</v>
      </c>
      <c r="AV166" s="4">
        <f>AT166-AU166</f>
        <v>6.1920000000000002</v>
      </c>
      <c r="AW166" s="9">
        <v>40801</v>
      </c>
      <c r="AX166" s="4">
        <v>0.182912148903487</v>
      </c>
      <c r="AY166" s="6">
        <v>0.1</v>
      </c>
      <c r="AZ166" s="4">
        <f>AX166-AY166</f>
        <v>8.2912148903486999E-2</v>
      </c>
    </row>
    <row r="167" spans="1:52" s="1" customFormat="1" x14ac:dyDescent="0.2">
      <c r="A167" s="2">
        <v>40823</v>
      </c>
      <c r="B167" s="1">
        <v>103</v>
      </c>
      <c r="C167" s="1">
        <v>60</v>
      </c>
      <c r="D167" s="1">
        <f>B167-C167</f>
        <v>43</v>
      </c>
      <c r="E167" s="2">
        <v>40823</v>
      </c>
      <c r="F167" s="1">
        <v>9.1</v>
      </c>
      <c r="G167" s="1">
        <v>9.1</v>
      </c>
      <c r="H167" s="1">
        <f>F167-G167</f>
        <v>0</v>
      </c>
      <c r="I167" s="2">
        <v>40835</v>
      </c>
      <c r="J167" s="1">
        <v>5.4421407523423532E-2</v>
      </c>
      <c r="K167" s="1">
        <v>0.2</v>
      </c>
      <c r="L167" s="4">
        <f>J167-K167</f>
        <v>-0.14557859247657648</v>
      </c>
      <c r="P167" s="4"/>
      <c r="Q167" s="2">
        <v>42075</v>
      </c>
      <c r="R167" s="4">
        <v>-0.58374964738427304</v>
      </c>
      <c r="S167" s="1">
        <v>0.3</v>
      </c>
      <c r="T167" s="4">
        <f>R167-S167</f>
        <v>-0.88374964738427297</v>
      </c>
      <c r="U167" s="2">
        <v>40848</v>
      </c>
      <c r="V167" s="1" t="s">
        <v>52</v>
      </c>
      <c r="W167" s="1" t="s">
        <v>52</v>
      </c>
      <c r="X167" s="1">
        <v>-1.2</v>
      </c>
      <c r="Y167" s="2">
        <v>41422</v>
      </c>
      <c r="Z167" s="5">
        <v>3.3192978900000001</v>
      </c>
      <c r="AA167" s="1">
        <v>1.5</v>
      </c>
      <c r="AB167" s="4">
        <f>Z167-AA167</f>
        <v>1.8192978900000001</v>
      </c>
      <c r="AC167" s="2">
        <v>41387</v>
      </c>
      <c r="AD167" s="5">
        <v>0.41699999999999998</v>
      </c>
      <c r="AE167" s="6">
        <v>0.42</v>
      </c>
      <c r="AF167" s="7">
        <f>AD167-AE167</f>
        <v>-3.0000000000000027E-3</v>
      </c>
      <c r="AG167" s="8">
        <v>40841</v>
      </c>
      <c r="AH167" s="6">
        <v>40.9</v>
      </c>
      <c r="AI167" s="1">
        <v>46</v>
      </c>
      <c r="AJ167" s="1">
        <f>AH167-AI167</f>
        <v>-5.1000000000000014</v>
      </c>
      <c r="AK167" s="2">
        <v>41823</v>
      </c>
      <c r="AL167" s="1">
        <v>0.246002460024595</v>
      </c>
      <c r="AM167" s="1">
        <v>0.2</v>
      </c>
      <c r="AN167" s="4">
        <f>AL167-AM167</f>
        <v>4.6002460024594988E-2</v>
      </c>
      <c r="AO167" s="2">
        <v>40835</v>
      </c>
      <c r="AP167" s="5">
        <v>0.30362224999999998</v>
      </c>
      <c r="AQ167" s="1">
        <v>0.3</v>
      </c>
      <c r="AR167" s="4">
        <f>AP167-AQ167</f>
        <v>3.6222499999999935E-3</v>
      </c>
      <c r="AS167" s="2">
        <v>40829</v>
      </c>
      <c r="AT167" s="5">
        <v>-45.607999999999997</v>
      </c>
      <c r="AU167" s="1">
        <v>-45.8</v>
      </c>
      <c r="AV167" s="4">
        <f>AT167-AU167</f>
        <v>0.19200000000000017</v>
      </c>
      <c r="AW167" s="9">
        <v>40833</v>
      </c>
      <c r="AX167" s="4">
        <v>0.18615021151983799</v>
      </c>
      <c r="AY167" s="6">
        <v>0.2</v>
      </c>
      <c r="AZ167" s="4">
        <f>AX167-AY167</f>
        <v>-1.3849788480162023E-2</v>
      </c>
    </row>
    <row r="168" spans="1:52" s="1" customFormat="1" x14ac:dyDescent="0.2">
      <c r="A168" s="2">
        <v>40851</v>
      </c>
      <c r="B168" s="1">
        <v>80</v>
      </c>
      <c r="C168" s="1">
        <v>95</v>
      </c>
      <c r="D168" s="1">
        <f>B168-C168</f>
        <v>-15</v>
      </c>
      <c r="E168" s="2">
        <v>40851</v>
      </c>
      <c r="F168" s="1">
        <v>9</v>
      </c>
      <c r="G168" s="1">
        <v>9.1</v>
      </c>
      <c r="H168" s="1">
        <f>F168-G168</f>
        <v>-9.9999999999999645E-2</v>
      </c>
      <c r="I168" s="2">
        <v>40863</v>
      </c>
      <c r="J168" s="1">
        <v>0.13575841193612187</v>
      </c>
      <c r="K168" s="1">
        <v>0.1</v>
      </c>
      <c r="L168" s="4">
        <f>J168-K168</f>
        <v>3.5758411936121864E-2</v>
      </c>
      <c r="P168" s="4"/>
      <c r="Q168" s="2">
        <v>42108</v>
      </c>
      <c r="R168" s="4">
        <v>0.86222262848785303</v>
      </c>
      <c r="S168" s="1">
        <v>1</v>
      </c>
      <c r="T168" s="4">
        <f>R168-S168</f>
        <v>-0.13777737151214697</v>
      </c>
      <c r="U168" s="2">
        <v>40878</v>
      </c>
      <c r="V168" s="1" t="s">
        <v>52</v>
      </c>
      <c r="W168" s="1" t="s">
        <v>52</v>
      </c>
      <c r="X168" s="1">
        <v>1.2</v>
      </c>
      <c r="Y168" s="2">
        <v>41450</v>
      </c>
      <c r="Z168" s="5">
        <v>3.6064721</v>
      </c>
      <c r="AA168" s="1">
        <v>3</v>
      </c>
      <c r="AB168" s="4">
        <f>Z168-AA168</f>
        <v>0.60647209999999996</v>
      </c>
      <c r="AC168" s="2">
        <v>41417</v>
      </c>
      <c r="AD168" s="5">
        <v>0.45400000000000001</v>
      </c>
      <c r="AE168" s="6">
        <v>0.42499999999999999</v>
      </c>
      <c r="AF168" s="7">
        <f>AD168-AE168</f>
        <v>2.9000000000000026E-2</v>
      </c>
      <c r="AG168" s="8">
        <v>40876</v>
      </c>
      <c r="AH168" s="6">
        <v>55.2</v>
      </c>
      <c r="AI168" s="1">
        <v>44</v>
      </c>
      <c r="AJ168" s="1">
        <f>AH168-AI168</f>
        <v>11.200000000000003</v>
      </c>
      <c r="AK168" s="2">
        <v>41852</v>
      </c>
      <c r="AL168" s="1">
        <v>4.09165302782242E-2</v>
      </c>
      <c r="AM168" s="1">
        <v>0.2</v>
      </c>
      <c r="AN168" s="4">
        <f>AL168-AM168</f>
        <v>-0.15908346972177581</v>
      </c>
      <c r="AO168" s="2">
        <v>40863</v>
      </c>
      <c r="AP168" s="5">
        <v>-8.4598300000000001E-2</v>
      </c>
      <c r="AQ168" s="1">
        <v>0</v>
      </c>
      <c r="AR168" s="4">
        <f>AP168-AQ168</f>
        <v>-8.4598300000000001E-2</v>
      </c>
      <c r="AS168" s="2">
        <v>40857</v>
      </c>
      <c r="AT168" s="5">
        <v>-43.106999999999999</v>
      </c>
      <c r="AU168" s="1">
        <v>-46</v>
      </c>
      <c r="AV168" s="4">
        <f>AT168-AU168</f>
        <v>2.8930000000000007</v>
      </c>
      <c r="AW168" s="9">
        <v>40863</v>
      </c>
      <c r="AX168" s="4">
        <v>0.68149565494697595</v>
      </c>
      <c r="AY168" s="6">
        <v>0.4</v>
      </c>
      <c r="AZ168" s="4">
        <f>AX168-AY168</f>
        <v>0.28149565494697593</v>
      </c>
    </row>
    <row r="169" spans="1:52" s="1" customFormat="1" x14ac:dyDescent="0.2">
      <c r="A169" s="2">
        <v>40879</v>
      </c>
      <c r="B169" s="1">
        <v>120</v>
      </c>
      <c r="C169" s="1">
        <v>122</v>
      </c>
      <c r="D169" s="1">
        <f>B169-C169</f>
        <v>-2</v>
      </c>
      <c r="E169" s="2">
        <v>40879</v>
      </c>
      <c r="F169" s="1">
        <v>8.6</v>
      </c>
      <c r="G169" s="1">
        <v>9</v>
      </c>
      <c r="H169" s="1">
        <f>F169-G169</f>
        <v>-0.40000000000000036</v>
      </c>
      <c r="I169" s="2">
        <v>40893</v>
      </c>
      <c r="J169" s="1">
        <v>0.17311123279929003</v>
      </c>
      <c r="K169" s="1">
        <v>0.1</v>
      </c>
      <c r="L169" s="4">
        <f>J169-K169</f>
        <v>7.3111232799290021E-2</v>
      </c>
      <c r="P169" s="4"/>
      <c r="Q169" s="2">
        <v>42137</v>
      </c>
      <c r="R169" s="4">
        <v>-9.1580123450006395E-4</v>
      </c>
      <c r="S169" s="1">
        <v>0.2</v>
      </c>
      <c r="T169" s="4">
        <f>R169-S169</f>
        <v>-0.20091580123450006</v>
      </c>
      <c r="U169" s="2">
        <v>40911</v>
      </c>
      <c r="V169" s="1" t="s">
        <v>52</v>
      </c>
      <c r="W169" s="1" t="s">
        <v>52</v>
      </c>
      <c r="X169" s="1">
        <v>0.7</v>
      </c>
      <c r="Y169" s="2">
        <v>41480</v>
      </c>
      <c r="Z169" s="5">
        <v>4.2258324399999996</v>
      </c>
      <c r="AA169" s="1">
        <v>1.3</v>
      </c>
      <c r="AB169" s="4">
        <f>Z169-AA169</f>
        <v>2.9258324399999998</v>
      </c>
      <c r="AC169" s="2">
        <v>41450</v>
      </c>
      <c r="AD169" s="5">
        <v>0.47599999999999998</v>
      </c>
      <c r="AE169" s="6">
        <v>0.46200000000000002</v>
      </c>
      <c r="AF169" s="7">
        <f>AD169-AE169</f>
        <v>1.3999999999999957E-2</v>
      </c>
      <c r="AG169" s="8">
        <v>40904</v>
      </c>
      <c r="AH169" s="6">
        <v>64.8</v>
      </c>
      <c r="AI169" s="1">
        <v>58.3</v>
      </c>
      <c r="AJ169" s="1">
        <f>AH169-AI169</f>
        <v>6.5</v>
      </c>
      <c r="AK169" s="2">
        <v>41887</v>
      </c>
      <c r="AL169" s="1">
        <v>0.24519820187986199</v>
      </c>
      <c r="AM169" s="1">
        <v>0.2</v>
      </c>
      <c r="AN169" s="4">
        <f>AL169-AM169</f>
        <v>4.5198201879861982E-2</v>
      </c>
      <c r="AO169" s="2">
        <v>40893</v>
      </c>
      <c r="AP169" s="5">
        <v>-1.89625E-2</v>
      </c>
      <c r="AQ169" s="1">
        <v>0.1</v>
      </c>
      <c r="AR169" s="4">
        <f>AP169-AQ169</f>
        <v>-0.1189625</v>
      </c>
      <c r="AS169" s="2">
        <v>40886</v>
      </c>
      <c r="AT169" s="5">
        <v>-43.466000000000001</v>
      </c>
      <c r="AU169" s="1">
        <v>-43.5</v>
      </c>
      <c r="AV169" s="4">
        <f>AT169-AU169</f>
        <v>3.399999999999892E-2</v>
      </c>
      <c r="AW169" s="9">
        <v>40892</v>
      </c>
      <c r="AX169" s="4">
        <v>-0.223382920202948</v>
      </c>
      <c r="AY169" s="6">
        <v>0.2</v>
      </c>
      <c r="AZ169" s="4">
        <f>AX169-AY169</f>
        <v>-0.42338292020294799</v>
      </c>
    </row>
    <row r="170" spans="1:52" s="1" customFormat="1" x14ac:dyDescent="0.2">
      <c r="A170" s="2">
        <v>40914</v>
      </c>
      <c r="B170" s="1">
        <v>200</v>
      </c>
      <c r="C170" s="1">
        <v>150</v>
      </c>
      <c r="D170" s="1">
        <f>B170-C170</f>
        <v>50</v>
      </c>
      <c r="E170" s="2">
        <v>40914</v>
      </c>
      <c r="F170" s="1">
        <v>8.5</v>
      </c>
      <c r="G170" s="1">
        <v>8.6999999999999993</v>
      </c>
      <c r="H170" s="1">
        <f>F170-G170</f>
        <v>-0.19999999999999929</v>
      </c>
      <c r="I170" s="2">
        <v>40927</v>
      </c>
      <c r="J170" s="1">
        <v>0.14547955351001784</v>
      </c>
      <c r="K170" s="1">
        <v>0.1</v>
      </c>
      <c r="L170" s="4">
        <f>J170-K170</f>
        <v>4.5479553510017839E-2</v>
      </c>
      <c r="P170" s="4"/>
      <c r="Q170" s="2">
        <v>42166</v>
      </c>
      <c r="R170" s="4">
        <v>1.20994433664614</v>
      </c>
      <c r="S170" s="1">
        <v>1.1000000000000001</v>
      </c>
      <c r="T170" s="4">
        <f>R170-S170</f>
        <v>0.1099443366461399</v>
      </c>
      <c r="U170" s="2">
        <v>40940</v>
      </c>
      <c r="V170" s="1" t="s">
        <v>52</v>
      </c>
      <c r="W170" s="1" t="s">
        <v>52</v>
      </c>
      <c r="X170" s="1">
        <v>-0.4</v>
      </c>
      <c r="Y170" s="2">
        <v>41512</v>
      </c>
      <c r="Z170" s="5">
        <v>-7.2673705000000002</v>
      </c>
      <c r="AA170" s="1">
        <v>-4</v>
      </c>
      <c r="AB170" s="4">
        <f>Z170-AA170</f>
        <v>-3.2673705000000002</v>
      </c>
      <c r="AC170" s="2">
        <v>41479</v>
      </c>
      <c r="AD170" s="5">
        <v>0.497</v>
      </c>
      <c r="AE170" s="6">
        <v>0.48199999999999998</v>
      </c>
      <c r="AF170" s="7">
        <f>AD170-AE170</f>
        <v>1.5000000000000013E-2</v>
      </c>
      <c r="AG170" s="8">
        <v>40939</v>
      </c>
      <c r="AH170" s="6">
        <v>61.5</v>
      </c>
      <c r="AI170" s="1">
        <v>68</v>
      </c>
      <c r="AJ170" s="1">
        <f>AH170-AI170</f>
        <v>-6.5</v>
      </c>
      <c r="AK170" s="2">
        <v>41915</v>
      </c>
      <c r="AL170" s="1">
        <v>-4.0749796251010599E-2</v>
      </c>
      <c r="AM170" s="1">
        <v>0.2</v>
      </c>
      <c r="AN170" s="4">
        <f>AL170-AM170</f>
        <v>-0.24074979625101062</v>
      </c>
      <c r="AO170" s="2">
        <v>40927</v>
      </c>
      <c r="AP170" s="5">
        <v>1.190896E-2</v>
      </c>
      <c r="AQ170" s="1">
        <v>0.1</v>
      </c>
      <c r="AR170" s="4">
        <f>AP170-AQ170</f>
        <v>-8.8091040000000009E-2</v>
      </c>
      <c r="AS170" s="2">
        <v>40921</v>
      </c>
      <c r="AT170" s="5">
        <v>-47.752000000000002</v>
      </c>
      <c r="AU170" s="1">
        <v>-45</v>
      </c>
      <c r="AV170" s="4">
        <f>AT170-AU170</f>
        <v>-2.7520000000000024</v>
      </c>
      <c r="AW170" s="9">
        <v>40926</v>
      </c>
      <c r="AX170" s="4">
        <v>0.43741073922415502</v>
      </c>
      <c r="AY170" s="6">
        <v>0.5</v>
      </c>
      <c r="AZ170" s="4">
        <f>AX170-AY170</f>
        <v>-6.2589260775844979E-2</v>
      </c>
    </row>
    <row r="171" spans="1:52" s="1" customFormat="1" x14ac:dyDescent="0.2">
      <c r="A171" s="2">
        <v>40942</v>
      </c>
      <c r="B171" s="1">
        <v>243</v>
      </c>
      <c r="C171" s="1">
        <v>150</v>
      </c>
      <c r="D171" s="1">
        <f>B171-C171</f>
        <v>93</v>
      </c>
      <c r="E171" s="2">
        <v>40942</v>
      </c>
      <c r="F171" s="1">
        <v>8.3000000000000007</v>
      </c>
      <c r="G171" s="1">
        <v>8.5</v>
      </c>
      <c r="H171" s="1">
        <f>F171-G171</f>
        <v>-0.19999999999999929</v>
      </c>
      <c r="I171" s="2">
        <v>40956</v>
      </c>
      <c r="J171" s="1">
        <v>0.22802708151748091</v>
      </c>
      <c r="K171" s="1">
        <v>0.2</v>
      </c>
      <c r="L171" s="4">
        <f>J171-K171</f>
        <v>2.8027081517480901E-2</v>
      </c>
      <c r="P171" s="4"/>
      <c r="Q171" s="2">
        <v>42199</v>
      </c>
      <c r="R171" s="4">
        <v>-0.27163858531346702</v>
      </c>
      <c r="S171" s="1">
        <v>0.2</v>
      </c>
      <c r="T171" s="4">
        <f>R171-S171</f>
        <v>-0.47163858531346703</v>
      </c>
      <c r="U171" s="2">
        <v>40969</v>
      </c>
      <c r="V171" s="1" t="s">
        <v>52</v>
      </c>
      <c r="W171" s="1" t="s">
        <v>52</v>
      </c>
      <c r="X171" s="1">
        <v>-2.1</v>
      </c>
      <c r="Y171" s="2">
        <v>41542</v>
      </c>
      <c r="Z171" s="5">
        <v>0.12375466</v>
      </c>
      <c r="AA171" s="1">
        <v>0</v>
      </c>
      <c r="AB171" s="4">
        <f>Z171-AA171</f>
        <v>0.12375466</v>
      </c>
      <c r="AC171" s="2">
        <v>41509</v>
      </c>
      <c r="AD171" s="5">
        <v>0.39400000000000002</v>
      </c>
      <c r="AE171" s="6">
        <v>0.49</v>
      </c>
      <c r="AF171" s="7">
        <f>AD171-AE171</f>
        <v>-9.5999999999999974E-2</v>
      </c>
      <c r="AG171" s="8">
        <v>40967</v>
      </c>
      <c r="AH171" s="6">
        <v>71.599999999999994</v>
      </c>
      <c r="AI171" s="1">
        <v>63</v>
      </c>
      <c r="AJ171" s="1">
        <f>AH171-AI171</f>
        <v>8.5999999999999943</v>
      </c>
      <c r="AK171" s="2">
        <v>41950</v>
      </c>
      <c r="AL171" s="1">
        <v>0.12224938875306</v>
      </c>
      <c r="AM171" s="1">
        <v>0.2</v>
      </c>
      <c r="AN171" s="4">
        <f>AL171-AM171</f>
        <v>-7.7750611246940007E-2</v>
      </c>
      <c r="AO171" s="2">
        <v>40956</v>
      </c>
      <c r="AP171" s="5">
        <v>0.20789928999999999</v>
      </c>
      <c r="AQ171" s="1">
        <v>0.3</v>
      </c>
      <c r="AR171" s="4">
        <f>AP171-AQ171</f>
        <v>-9.2100710000000002E-2</v>
      </c>
      <c r="AS171" s="2">
        <v>40949</v>
      </c>
      <c r="AT171" s="5">
        <v>-48.8</v>
      </c>
      <c r="AU171" s="1">
        <v>-48</v>
      </c>
      <c r="AV171" s="4">
        <f>AT171-AU171</f>
        <v>-0.79999999999999716</v>
      </c>
      <c r="AW171" s="9">
        <v>40954</v>
      </c>
      <c r="AX171" s="4">
        <v>2.85779845219967E-2</v>
      </c>
      <c r="AY171" s="6">
        <v>0.7</v>
      </c>
      <c r="AZ171" s="4">
        <f>AX171-AY171</f>
        <v>-0.67142201547800329</v>
      </c>
    </row>
    <row r="172" spans="1:52" s="1" customFormat="1" x14ac:dyDescent="0.2">
      <c r="A172" s="2">
        <v>40977</v>
      </c>
      <c r="B172" s="1">
        <v>227</v>
      </c>
      <c r="C172" s="1">
        <v>210</v>
      </c>
      <c r="D172" s="1">
        <f>B172-C172</f>
        <v>17</v>
      </c>
      <c r="E172" s="2">
        <v>40977</v>
      </c>
      <c r="F172" s="1">
        <v>8.3000000000000007</v>
      </c>
      <c r="G172" s="1">
        <v>8.3000000000000007</v>
      </c>
      <c r="H172" s="1">
        <f>F172-G172</f>
        <v>0</v>
      </c>
      <c r="I172" s="2">
        <v>40984</v>
      </c>
      <c r="J172" s="1">
        <v>9.7942762776485476E-2</v>
      </c>
      <c r="K172" s="1">
        <v>0.2</v>
      </c>
      <c r="L172" s="4">
        <f>J172-K172</f>
        <v>-0.10205723722351454</v>
      </c>
      <c r="P172" s="4"/>
      <c r="Q172" s="2">
        <v>42229</v>
      </c>
      <c r="R172" s="4">
        <v>0.57419221134958798</v>
      </c>
      <c r="S172" s="1">
        <v>0.5</v>
      </c>
      <c r="T172" s="4">
        <f>R172-S172</f>
        <v>7.4192211349587978E-2</v>
      </c>
      <c r="U172" s="2">
        <v>41001</v>
      </c>
      <c r="V172" s="1" t="s">
        <v>52</v>
      </c>
      <c r="W172" s="1" t="s">
        <v>52</v>
      </c>
      <c r="X172" s="1">
        <v>0.4</v>
      </c>
      <c r="Y172" s="2">
        <v>41572</v>
      </c>
      <c r="Z172" s="5">
        <v>3.6626636600000002</v>
      </c>
      <c r="AA172" s="1">
        <v>2</v>
      </c>
      <c r="AB172" s="4">
        <f>Z172-AA172</f>
        <v>1.6626636600000002</v>
      </c>
      <c r="AC172" s="2">
        <v>41542</v>
      </c>
      <c r="AD172" s="5">
        <v>0.42099999999999999</v>
      </c>
      <c r="AE172" s="6">
        <v>0.42</v>
      </c>
      <c r="AF172" s="7">
        <f>AD172-AE172</f>
        <v>1.0000000000000009E-3</v>
      </c>
      <c r="AG172" s="8">
        <v>40995</v>
      </c>
      <c r="AH172" s="6">
        <v>69.5</v>
      </c>
      <c r="AI172" s="3" t="s">
        <v>52</v>
      </c>
      <c r="AJ172" s="1" t="e">
        <f>AH172-AI172</f>
        <v>#VALUE!</v>
      </c>
      <c r="AK172" s="2">
        <v>41978</v>
      </c>
      <c r="AL172" s="1">
        <v>0.366300366300365</v>
      </c>
      <c r="AM172" s="1">
        <v>0.2</v>
      </c>
      <c r="AN172" s="4">
        <f>AL172-AM172</f>
        <v>0.16630036630036499</v>
      </c>
      <c r="AO172" s="2">
        <v>40984</v>
      </c>
      <c r="AP172" s="5">
        <v>0.40790312000000001</v>
      </c>
      <c r="AQ172" s="1">
        <v>0.4</v>
      </c>
      <c r="AR172" s="4">
        <f>AP172-AQ172</f>
        <v>7.9031199999999857E-3</v>
      </c>
      <c r="AS172" s="2">
        <v>40977</v>
      </c>
      <c r="AT172" s="5">
        <v>-52.564999999999998</v>
      </c>
      <c r="AU172" s="1">
        <v>-49</v>
      </c>
      <c r="AV172" s="4">
        <f>AT172-AU172</f>
        <v>-3.5649999999999977</v>
      </c>
      <c r="AW172" s="9">
        <v>40984</v>
      </c>
      <c r="AX172" s="4">
        <v>2.0800074880280201E-2</v>
      </c>
      <c r="AY172" s="6">
        <v>0.4</v>
      </c>
      <c r="AZ172" s="4">
        <f>AX172-AY172</f>
        <v>-0.37919992511971984</v>
      </c>
    </row>
    <row r="173" spans="1:52" s="1" customFormat="1" x14ac:dyDescent="0.2">
      <c r="A173" s="2">
        <v>41005</v>
      </c>
      <c r="B173" s="1">
        <v>120</v>
      </c>
      <c r="C173" s="1">
        <v>203</v>
      </c>
      <c r="D173" s="1">
        <f>B173-C173</f>
        <v>-83</v>
      </c>
      <c r="E173" s="2">
        <v>41005</v>
      </c>
      <c r="F173" s="1">
        <v>8.1999999999999993</v>
      </c>
      <c r="G173" s="1">
        <v>8.3000000000000007</v>
      </c>
      <c r="H173" s="1">
        <f>F173-G173</f>
        <v>-0.10000000000000142</v>
      </c>
      <c r="I173" s="2">
        <v>41012</v>
      </c>
      <c r="J173" s="1">
        <v>0.23035711935130437</v>
      </c>
      <c r="K173" s="1">
        <v>0.2</v>
      </c>
      <c r="L173" s="4">
        <f>J173-K173</f>
        <v>3.0357119351304362E-2</v>
      </c>
      <c r="P173" s="4"/>
      <c r="Q173" s="2">
        <v>42262</v>
      </c>
      <c r="R173" s="4">
        <v>0.18864462306879801</v>
      </c>
      <c r="S173" s="1">
        <v>0.3</v>
      </c>
      <c r="T173" s="4">
        <f>R173-S173</f>
        <v>-0.11135537693120198</v>
      </c>
      <c r="U173" s="2">
        <v>41030</v>
      </c>
      <c r="V173" s="1" t="s">
        <v>52</v>
      </c>
      <c r="W173" s="1" t="s">
        <v>52</v>
      </c>
      <c r="X173" s="1">
        <v>1.3</v>
      </c>
      <c r="Y173" s="2">
        <v>41605</v>
      </c>
      <c r="Z173" s="5">
        <v>-1.9757932</v>
      </c>
      <c r="AA173" s="1">
        <v>-1.9</v>
      </c>
      <c r="AB173" s="4">
        <f>Z173-AA173</f>
        <v>-7.5793200000000116E-2</v>
      </c>
      <c r="AC173" s="2">
        <v>41612</v>
      </c>
      <c r="AD173" s="5">
        <v>0.35399999999999998</v>
      </c>
      <c r="AE173" s="6">
        <v>0.42499999999999999</v>
      </c>
      <c r="AF173" s="7">
        <f>AD173-AE173</f>
        <v>-7.1000000000000008E-2</v>
      </c>
      <c r="AG173" s="8">
        <v>41023</v>
      </c>
      <c r="AH173" s="6">
        <v>68.7</v>
      </c>
      <c r="AI173" s="1">
        <v>69.7</v>
      </c>
      <c r="AJ173" s="1">
        <f>AH173-AI173</f>
        <v>-1</v>
      </c>
      <c r="AK173" s="2">
        <v>42013</v>
      </c>
      <c r="AL173" s="1">
        <v>-0.203086921202277</v>
      </c>
      <c r="AM173" s="1">
        <v>0.2</v>
      </c>
      <c r="AN173" s="4">
        <f>AL173-AM173</f>
        <v>-0.40308692120227702</v>
      </c>
      <c r="AO173" s="2">
        <v>41012</v>
      </c>
      <c r="AP173" s="5">
        <v>0.29111380999999997</v>
      </c>
      <c r="AQ173" s="1">
        <v>0.3</v>
      </c>
      <c r="AR173" s="4">
        <f>AP173-AQ173</f>
        <v>-8.886190000000016E-3</v>
      </c>
      <c r="AS173" s="2">
        <v>41011</v>
      </c>
      <c r="AT173" s="5">
        <v>-46.024999999999999</v>
      </c>
      <c r="AU173" s="1">
        <v>-52</v>
      </c>
      <c r="AV173" s="4">
        <f>AT173-AU173</f>
        <v>5.9750000000000014</v>
      </c>
      <c r="AW173" s="9">
        <v>41016</v>
      </c>
      <c r="AX173" s="4">
        <v>-4.7632311689242502E-3</v>
      </c>
      <c r="AY173" s="6">
        <v>0.5</v>
      </c>
      <c r="AZ173" s="4">
        <f>AX173-AY173</f>
        <v>-0.5047632311689243</v>
      </c>
    </row>
    <row r="174" spans="1:52" s="1" customFormat="1" x14ac:dyDescent="0.2">
      <c r="A174" s="2">
        <v>41033</v>
      </c>
      <c r="B174" s="1">
        <v>115</v>
      </c>
      <c r="C174" s="1">
        <v>175</v>
      </c>
      <c r="D174" s="1">
        <f>B174-C174</f>
        <v>-60</v>
      </c>
      <c r="E174" s="2">
        <v>41033</v>
      </c>
      <c r="F174" s="1">
        <v>8.1</v>
      </c>
      <c r="G174" s="1">
        <v>8.1999999999999993</v>
      </c>
      <c r="H174" s="1">
        <f>F174-G174</f>
        <v>-9.9999999999999645E-2</v>
      </c>
      <c r="I174" s="2">
        <v>41044</v>
      </c>
      <c r="J174" s="1">
        <v>0.24164740491700856</v>
      </c>
      <c r="K174" s="1">
        <v>0.2</v>
      </c>
      <c r="L174" s="4">
        <f>J174-K174</f>
        <v>4.1647404917008551E-2</v>
      </c>
      <c r="P174" s="4"/>
      <c r="Q174" s="2">
        <v>42291</v>
      </c>
      <c r="R174" s="4">
        <v>0.10442311261373</v>
      </c>
      <c r="S174" s="1">
        <v>0.2</v>
      </c>
      <c r="T174" s="4">
        <f>R174-S174</f>
        <v>-9.5576887386270015E-2</v>
      </c>
      <c r="U174" s="2">
        <v>41061</v>
      </c>
      <c r="V174" s="1" t="s">
        <v>52</v>
      </c>
      <c r="W174" s="1" t="s">
        <v>52</v>
      </c>
      <c r="X174" s="1">
        <v>-0.4</v>
      </c>
      <c r="Y174" s="2">
        <v>41632</v>
      </c>
      <c r="Z174" s="5">
        <v>3.5010322299999999</v>
      </c>
      <c r="AA174" s="1">
        <v>2</v>
      </c>
      <c r="AB174" s="4">
        <f>Z174-AA174</f>
        <v>1.5010322299999999</v>
      </c>
      <c r="AC174" s="2">
        <v>41612</v>
      </c>
      <c r="AD174" s="5">
        <v>0.44400000000000001</v>
      </c>
      <c r="AE174" s="6">
        <v>0.42799999999999999</v>
      </c>
      <c r="AF174" s="7">
        <f>AD174-AE174</f>
        <v>1.6000000000000014E-2</v>
      </c>
      <c r="AG174" s="8">
        <v>41058</v>
      </c>
      <c r="AH174" s="6">
        <v>64.400000000000006</v>
      </c>
      <c r="AI174" s="1">
        <v>70</v>
      </c>
      <c r="AJ174" s="1">
        <f>AH174-AI174</f>
        <v>-5.5999999999999943</v>
      </c>
      <c r="AK174" s="2">
        <v>42041</v>
      </c>
      <c r="AL174" s="1">
        <v>0.487210718635814</v>
      </c>
      <c r="AM174" s="1">
        <v>0.3</v>
      </c>
      <c r="AN174" s="4">
        <f>AL174-AM174</f>
        <v>0.18721071863581401</v>
      </c>
      <c r="AO174" s="2">
        <v>41044</v>
      </c>
      <c r="AP174" s="5">
        <v>3.4483060000000003E-2</v>
      </c>
      <c r="AQ174" s="1">
        <v>0</v>
      </c>
      <c r="AR174" s="4">
        <f>AP174-AQ174</f>
        <v>3.4483060000000003E-2</v>
      </c>
      <c r="AS174" s="2">
        <v>41039</v>
      </c>
      <c r="AT174" s="5">
        <v>-51.825000000000003</v>
      </c>
      <c r="AU174" s="1">
        <v>-49.1</v>
      </c>
      <c r="AV174" s="4">
        <f>AT174-AU174</f>
        <v>-2.7250000000000014</v>
      </c>
      <c r="AW174" s="9">
        <v>41045</v>
      </c>
      <c r="AX174" s="4">
        <v>1.08647940203163</v>
      </c>
      <c r="AY174" s="6">
        <v>0.6</v>
      </c>
      <c r="AZ174" s="4">
        <f>AX174-AY174</f>
        <v>0.48647940203162998</v>
      </c>
    </row>
    <row r="175" spans="1:52" s="1" customFormat="1" x14ac:dyDescent="0.2">
      <c r="A175" s="2">
        <v>41061</v>
      </c>
      <c r="B175" s="1">
        <v>69</v>
      </c>
      <c r="C175" s="1">
        <v>150</v>
      </c>
      <c r="D175" s="1">
        <f>B175-C175</f>
        <v>-81</v>
      </c>
      <c r="E175" s="2">
        <v>41061</v>
      </c>
      <c r="F175" s="1">
        <v>8.1999999999999993</v>
      </c>
      <c r="G175" s="1">
        <v>8.1</v>
      </c>
      <c r="H175" s="1">
        <f>F175-G175</f>
        <v>9.9999999999999645E-2</v>
      </c>
      <c r="I175" s="2">
        <v>41074</v>
      </c>
      <c r="J175" s="1">
        <v>0.20176082171679638</v>
      </c>
      <c r="K175" s="1">
        <v>0.2</v>
      </c>
      <c r="L175" s="4">
        <f>J175-K175</f>
        <v>1.760821716796368E-3</v>
      </c>
      <c r="P175" s="4"/>
      <c r="Q175" s="2">
        <v>42321</v>
      </c>
      <c r="R175" s="4">
        <v>5.0108381745337501E-2</v>
      </c>
      <c r="S175" s="1">
        <v>0.3</v>
      </c>
      <c r="T175" s="4">
        <f>R175-S175</f>
        <v>-0.2498916182546625</v>
      </c>
      <c r="U175" s="2">
        <v>41092</v>
      </c>
      <c r="V175" s="1" t="s">
        <v>52</v>
      </c>
      <c r="W175" s="1" t="s">
        <v>52</v>
      </c>
      <c r="X175" s="1">
        <v>-2.2999999999999998</v>
      </c>
      <c r="Y175" s="2">
        <v>41667</v>
      </c>
      <c r="Z175" s="5">
        <v>-4.3040817000000002</v>
      </c>
      <c r="AA175" s="1">
        <v>1.8</v>
      </c>
      <c r="AB175" s="4">
        <f>Z175-AA175</f>
        <v>-6.1040817000000001</v>
      </c>
      <c r="AC175" s="2">
        <v>41632</v>
      </c>
      <c r="AD175" s="5">
        <v>0.46400000000000002</v>
      </c>
      <c r="AE175" s="6">
        <v>0.44500000000000001</v>
      </c>
      <c r="AF175" s="7">
        <f>AD175-AE175</f>
        <v>1.9000000000000017E-2</v>
      </c>
      <c r="AG175" s="8">
        <v>41086</v>
      </c>
      <c r="AH175" s="6">
        <v>62.7</v>
      </c>
      <c r="AI175" s="1">
        <v>63.5</v>
      </c>
      <c r="AJ175" s="1">
        <f>AH175-AI175</f>
        <v>-0.79999999999999716</v>
      </c>
      <c r="AK175" s="2">
        <v>42069</v>
      </c>
      <c r="AL175" s="1">
        <v>0.121212121212125</v>
      </c>
      <c r="AM175" s="1">
        <v>0.2</v>
      </c>
      <c r="AN175" s="4">
        <f>AL175-AM175</f>
        <v>-7.8787878787875007E-2</v>
      </c>
      <c r="AO175" s="2">
        <v>41074</v>
      </c>
      <c r="AP175" s="5">
        <v>-0.28362359999999998</v>
      </c>
      <c r="AQ175" s="1">
        <v>-0.2</v>
      </c>
      <c r="AR175" s="4">
        <f>AP175-AQ175</f>
        <v>-8.3623599999999965E-2</v>
      </c>
      <c r="AS175" s="2">
        <v>41068</v>
      </c>
      <c r="AT175" s="5">
        <v>-50.061999999999998</v>
      </c>
      <c r="AU175" s="1">
        <v>-49.5</v>
      </c>
      <c r="AV175" s="4">
        <f>AT175-AU175</f>
        <v>-0.56199999999999761</v>
      </c>
      <c r="AW175" s="9">
        <v>41075</v>
      </c>
      <c r="AX175" s="4">
        <v>-9.4272678073173299E-2</v>
      </c>
      <c r="AY175" s="6">
        <v>0.1</v>
      </c>
      <c r="AZ175" s="4">
        <f>AX175-AY175</f>
        <v>-0.1942726780731733</v>
      </c>
    </row>
    <row r="176" spans="1:52" s="1" customFormat="1" x14ac:dyDescent="0.2">
      <c r="A176" s="2">
        <v>41096</v>
      </c>
      <c r="B176" s="1">
        <v>80</v>
      </c>
      <c r="C176" s="1">
        <v>90</v>
      </c>
      <c r="D176" s="1">
        <f>B176-C176</f>
        <v>-10</v>
      </c>
      <c r="E176" s="2">
        <v>41096</v>
      </c>
      <c r="F176" s="1">
        <v>8.1999999999999993</v>
      </c>
      <c r="G176" s="1">
        <v>8.1999999999999993</v>
      </c>
      <c r="H176" s="1">
        <f>F176-G176</f>
        <v>0</v>
      </c>
      <c r="I176" s="2">
        <v>41107</v>
      </c>
      <c r="J176" s="1">
        <v>0.20484122625802972</v>
      </c>
      <c r="K176" s="1">
        <v>0.2</v>
      </c>
      <c r="L176" s="4">
        <f>J176-K176</f>
        <v>4.8412262580297127E-3</v>
      </c>
      <c r="P176" s="4"/>
      <c r="Q176" s="2">
        <v>42349</v>
      </c>
      <c r="R176" s="4">
        <v>0.221861895443108</v>
      </c>
      <c r="S176" s="1">
        <v>0.3</v>
      </c>
      <c r="T176" s="4">
        <f>R176-S176</f>
        <v>-7.8138104556891991E-2</v>
      </c>
      <c r="U176" s="2">
        <v>41122</v>
      </c>
      <c r="V176" s="1" t="s">
        <v>52</v>
      </c>
      <c r="W176" s="1" t="s">
        <v>52</v>
      </c>
      <c r="X176" s="1">
        <v>-0.4</v>
      </c>
      <c r="Y176" s="2">
        <v>41697</v>
      </c>
      <c r="Z176" s="5">
        <v>-0.96710859999999998</v>
      </c>
      <c r="AA176" s="1">
        <v>-1.5</v>
      </c>
      <c r="AB176" s="4">
        <f>Z176-AA176</f>
        <v>0.53289140000000002</v>
      </c>
      <c r="AC176" s="2">
        <v>41666</v>
      </c>
      <c r="AD176" s="5">
        <v>0.41399999999999998</v>
      </c>
      <c r="AE176" s="6">
        <v>0.45700000000000002</v>
      </c>
      <c r="AF176" s="7">
        <f>AD176-AE176</f>
        <v>-4.3000000000000038E-2</v>
      </c>
      <c r="AG176" s="8">
        <v>41121</v>
      </c>
      <c r="AH176" s="6">
        <v>65.400000000000006</v>
      </c>
      <c r="AI176" s="1">
        <v>61.5</v>
      </c>
      <c r="AJ176" s="1">
        <f>AH176-AI176</f>
        <v>3.9000000000000057</v>
      </c>
      <c r="AK176" s="2">
        <v>42097</v>
      </c>
      <c r="AL176" s="1">
        <v>0.28237192416297002</v>
      </c>
      <c r="AM176" s="1">
        <v>0.2</v>
      </c>
      <c r="AN176" s="4">
        <f>AL176-AM176</f>
        <v>8.2371924162970012E-2</v>
      </c>
      <c r="AO176" s="2">
        <v>41107</v>
      </c>
      <c r="AP176" s="5">
        <v>3.982024E-2</v>
      </c>
      <c r="AQ176" s="1">
        <v>0</v>
      </c>
      <c r="AR176" s="4">
        <f>AP176-AQ176</f>
        <v>3.982024E-2</v>
      </c>
      <c r="AS176" s="2">
        <v>41101</v>
      </c>
      <c r="AT176" s="5">
        <v>-48.683999999999997</v>
      </c>
      <c r="AU176" s="1">
        <v>-48.5</v>
      </c>
      <c r="AV176" s="4">
        <f>AT176-AU176</f>
        <v>-0.1839999999999975</v>
      </c>
      <c r="AW176" s="9">
        <v>41107</v>
      </c>
      <c r="AX176" s="4">
        <v>0.425181900547628</v>
      </c>
      <c r="AY176" s="6">
        <v>0.3</v>
      </c>
      <c r="AZ176" s="4">
        <f>AX176-AY176</f>
        <v>0.12518190054762801</v>
      </c>
    </row>
    <row r="177" spans="1:52" s="1" customFormat="1" x14ac:dyDescent="0.2">
      <c r="A177" s="2">
        <v>41124</v>
      </c>
      <c r="B177" s="1">
        <v>163</v>
      </c>
      <c r="C177" s="1">
        <v>100</v>
      </c>
      <c r="D177" s="1">
        <f>B177-C177</f>
        <v>63</v>
      </c>
      <c r="E177" s="2">
        <v>41124</v>
      </c>
      <c r="F177" s="1">
        <v>8.3000000000000007</v>
      </c>
      <c r="G177" s="1">
        <v>8.1999999999999993</v>
      </c>
      <c r="H177" s="1">
        <f>F177-G177</f>
        <v>0.10000000000000142</v>
      </c>
      <c r="I177" s="2">
        <v>41136</v>
      </c>
      <c r="J177" s="1">
        <v>9.0467823031019329E-2</v>
      </c>
      <c r="K177" s="1">
        <v>0.2</v>
      </c>
      <c r="L177" s="4">
        <f>J177-K177</f>
        <v>-0.10953217696898068</v>
      </c>
      <c r="P177" s="4"/>
      <c r="Q177" s="2">
        <v>42384</v>
      </c>
      <c r="R177" s="4">
        <v>-0.110125284230237</v>
      </c>
      <c r="S177" s="1">
        <v>0</v>
      </c>
      <c r="T177" s="4">
        <f>R177-S177</f>
        <v>-0.110125284230237</v>
      </c>
      <c r="U177" s="2">
        <v>41156</v>
      </c>
      <c r="V177" s="1" t="s">
        <v>52</v>
      </c>
      <c r="W177" s="1" t="s">
        <v>52</v>
      </c>
      <c r="X177" s="1">
        <v>-0.4</v>
      </c>
      <c r="Y177" s="2">
        <v>41724</v>
      </c>
      <c r="Z177" s="5">
        <v>2.2274613300000001</v>
      </c>
      <c r="AA177" s="1">
        <v>1</v>
      </c>
      <c r="AB177" s="4">
        <f>Z177-AA177</f>
        <v>1.2274613300000001</v>
      </c>
      <c r="AC177" s="2">
        <v>41696</v>
      </c>
      <c r="AD177" s="5">
        <v>0.46800000000000003</v>
      </c>
      <c r="AE177" s="6">
        <v>0.4</v>
      </c>
      <c r="AF177" s="7">
        <f>AD177-AE177</f>
        <v>6.8000000000000005E-2</v>
      </c>
      <c r="AG177" s="8">
        <v>41149</v>
      </c>
      <c r="AH177" s="6">
        <v>61.3</v>
      </c>
      <c r="AI177" s="1">
        <v>66</v>
      </c>
      <c r="AJ177" s="1">
        <f>AH177-AI177</f>
        <v>-4.7000000000000028</v>
      </c>
      <c r="AK177" s="2">
        <v>42132</v>
      </c>
      <c r="AL177" s="1">
        <v>0.120772946859907</v>
      </c>
      <c r="AM177" s="1">
        <v>0.2</v>
      </c>
      <c r="AN177" s="4">
        <f>AL177-AM177</f>
        <v>-7.9227053140093012E-2</v>
      </c>
      <c r="AO177" s="2">
        <v>41136</v>
      </c>
      <c r="AP177" s="5">
        <v>4.5928139999999999E-2</v>
      </c>
      <c r="AQ177" s="1">
        <v>0.2</v>
      </c>
      <c r="AR177" s="4">
        <f>AP177-AQ177</f>
        <v>-0.15407186</v>
      </c>
      <c r="AS177" s="2">
        <v>41130</v>
      </c>
      <c r="AT177" s="5">
        <v>-42.923999999999999</v>
      </c>
      <c r="AU177" s="1">
        <v>-47.5</v>
      </c>
      <c r="AV177" s="4">
        <f>AT177-AU177</f>
        <v>4.5760000000000005</v>
      </c>
      <c r="AW177" s="9">
        <v>41136</v>
      </c>
      <c r="AX177" s="4">
        <v>0.646442206711624</v>
      </c>
      <c r="AY177" s="6">
        <v>0.5</v>
      </c>
      <c r="AZ177" s="4">
        <f>AX177-AY177</f>
        <v>0.146442206711624</v>
      </c>
    </row>
    <row r="178" spans="1:52" s="1" customFormat="1" x14ac:dyDescent="0.2">
      <c r="A178" s="2">
        <v>41159</v>
      </c>
      <c r="B178" s="1">
        <v>96</v>
      </c>
      <c r="C178" s="1">
        <v>125</v>
      </c>
      <c r="D178" s="1">
        <f>B178-C178</f>
        <v>-29</v>
      </c>
      <c r="E178" s="2">
        <v>41159</v>
      </c>
      <c r="F178" s="1">
        <v>8.1</v>
      </c>
      <c r="G178" s="1">
        <v>8.3000000000000007</v>
      </c>
      <c r="H178" s="1">
        <f>F178-G178</f>
        <v>-0.20000000000000107</v>
      </c>
      <c r="I178" s="2">
        <v>41166</v>
      </c>
      <c r="J178" s="1">
        <v>5.2145799655839702E-2</v>
      </c>
      <c r="K178" s="1">
        <v>0.2</v>
      </c>
      <c r="L178" s="4">
        <f>J178-K178</f>
        <v>-0.1478542003441603</v>
      </c>
      <c r="P178" s="4"/>
      <c r="Q178" s="2">
        <v>42412</v>
      </c>
      <c r="R178" s="4">
        <v>0.17701716064474299</v>
      </c>
      <c r="S178" s="1">
        <v>0.1</v>
      </c>
      <c r="T178" s="4">
        <f>R178-S178</f>
        <v>7.7017160644742982E-2</v>
      </c>
      <c r="U178" s="2">
        <v>41183</v>
      </c>
      <c r="V178" s="1" t="s">
        <v>52</v>
      </c>
      <c r="W178" s="1" t="s">
        <v>52</v>
      </c>
      <c r="X178" s="1">
        <v>1.8</v>
      </c>
      <c r="Y178" s="2">
        <v>41753</v>
      </c>
      <c r="Z178" s="5">
        <v>2.60354771</v>
      </c>
      <c r="AA178" s="1">
        <v>2</v>
      </c>
      <c r="AB178" s="4">
        <f>Z178-AA178</f>
        <v>0.60354770999999996</v>
      </c>
      <c r="AC178" s="2">
        <v>41723</v>
      </c>
      <c r="AD178" s="5">
        <v>0.44</v>
      </c>
      <c r="AE178" s="6">
        <v>0.44500000000000001</v>
      </c>
      <c r="AF178" s="7">
        <f>AD178-AE178</f>
        <v>-5.0000000000000044E-3</v>
      </c>
      <c r="AG178" s="8">
        <v>41178</v>
      </c>
      <c r="AH178" s="6">
        <v>68.400000000000006</v>
      </c>
      <c r="AI178" s="1">
        <v>63</v>
      </c>
      <c r="AJ178" s="1">
        <f>AH178-AI178</f>
        <v>5.4000000000000057</v>
      </c>
      <c r="AK178" s="2">
        <v>42160</v>
      </c>
      <c r="AL178" s="1">
        <v>0.32154340836013601</v>
      </c>
      <c r="AM178" s="1">
        <v>0.2</v>
      </c>
      <c r="AN178" s="4">
        <f>AL178-AM178</f>
        <v>0.121543408360136</v>
      </c>
      <c r="AO178" s="2">
        <v>41166</v>
      </c>
      <c r="AP178" s="5">
        <v>0.60291269000000003</v>
      </c>
      <c r="AQ178" s="1">
        <v>0.5</v>
      </c>
      <c r="AR178" s="4">
        <f>AP178-AQ178</f>
        <v>0.10291269000000003</v>
      </c>
      <c r="AS178" s="2">
        <v>41163</v>
      </c>
      <c r="AT178" s="5">
        <v>-42.002000000000002</v>
      </c>
      <c r="AU178" s="1">
        <v>-44</v>
      </c>
      <c r="AV178" s="4">
        <f>AT178-AU178</f>
        <v>1.9979999999999976</v>
      </c>
      <c r="AW178" s="9">
        <v>41166</v>
      </c>
      <c r="AX178" s="4">
        <v>-1.16373792621901</v>
      </c>
      <c r="AY178" s="6">
        <v>0</v>
      </c>
      <c r="AZ178" s="4">
        <f>AX178-AY178</f>
        <v>-1.16373792621901</v>
      </c>
    </row>
    <row r="179" spans="1:52" s="1" customFormat="1" x14ac:dyDescent="0.2">
      <c r="A179" s="2">
        <v>41187</v>
      </c>
      <c r="B179" s="1">
        <v>114</v>
      </c>
      <c r="C179" s="1">
        <v>113</v>
      </c>
      <c r="D179" s="1">
        <f>B179-C179</f>
        <v>1</v>
      </c>
      <c r="E179" s="2">
        <v>41187</v>
      </c>
      <c r="F179" s="1">
        <v>7.8</v>
      </c>
      <c r="G179" s="1">
        <v>8.1999999999999993</v>
      </c>
      <c r="H179" s="1">
        <f>F179-G179</f>
        <v>-0.39999999999999947</v>
      </c>
      <c r="I179" s="2">
        <v>41198</v>
      </c>
      <c r="J179" s="1">
        <v>0.14593214155418283</v>
      </c>
      <c r="K179" s="1">
        <v>0.2</v>
      </c>
      <c r="L179" s="4">
        <f>J179-K179</f>
        <v>-5.4067858445817185E-2</v>
      </c>
      <c r="P179" s="4"/>
      <c r="Q179" s="2">
        <v>42444</v>
      </c>
      <c r="R179" s="4">
        <v>-0.14599452632142901</v>
      </c>
      <c r="S179" s="1">
        <v>-0.2</v>
      </c>
      <c r="T179" s="4">
        <f>R179-S179</f>
        <v>5.4005473678571003E-2</v>
      </c>
      <c r="U179" s="2">
        <v>41214</v>
      </c>
      <c r="V179" s="1" t="s">
        <v>52</v>
      </c>
      <c r="W179" s="1" t="s">
        <v>52</v>
      </c>
      <c r="X179" s="1">
        <v>0.5</v>
      </c>
      <c r="Y179" s="2">
        <v>41786</v>
      </c>
      <c r="Z179" s="5">
        <v>0.80154932999999995</v>
      </c>
      <c r="AA179" s="1">
        <v>-0.5</v>
      </c>
      <c r="AB179" s="4">
        <f>Z179-AA179</f>
        <v>1.3015493299999998</v>
      </c>
      <c r="AC179" s="2">
        <v>41752</v>
      </c>
      <c r="AD179" s="5">
        <v>0.38400000000000001</v>
      </c>
      <c r="AE179" s="6">
        <v>0.45</v>
      </c>
      <c r="AF179" s="7">
        <f>AD179-AE179</f>
        <v>-6.6000000000000003E-2</v>
      </c>
      <c r="AG179" s="8">
        <v>41212</v>
      </c>
      <c r="AH179" s="6">
        <v>73.099999999999994</v>
      </c>
      <c r="AI179" s="1">
        <v>72.5</v>
      </c>
      <c r="AJ179" s="1">
        <f>AH179-AI179</f>
        <v>0.59999999999999432</v>
      </c>
      <c r="AK179" s="2">
        <v>42187</v>
      </c>
      <c r="AL179" s="1">
        <v>0</v>
      </c>
      <c r="AM179" s="1">
        <v>0.2</v>
      </c>
      <c r="AN179" s="4">
        <f>AL179-AM179</f>
        <v>-0.2</v>
      </c>
      <c r="AO179" s="2">
        <v>41198</v>
      </c>
      <c r="AP179" s="5">
        <v>0.57018192000000001</v>
      </c>
      <c r="AQ179" s="1">
        <v>0.5</v>
      </c>
      <c r="AR179" s="4">
        <f>AP179-AQ179</f>
        <v>7.0181920000000009E-2</v>
      </c>
      <c r="AS179" s="2">
        <v>41193</v>
      </c>
      <c r="AT179" s="5">
        <v>-44.216999999999999</v>
      </c>
      <c r="AU179" s="1">
        <v>-44</v>
      </c>
      <c r="AV179" s="4">
        <f>AT179-AU179</f>
        <v>-0.21699999999999875</v>
      </c>
      <c r="AW179" s="9">
        <v>41198</v>
      </c>
      <c r="AX179" s="4">
        <v>0.409573972701961</v>
      </c>
      <c r="AY179" s="6">
        <v>0.2</v>
      </c>
      <c r="AZ179" s="4">
        <f>AX179-AY179</f>
        <v>0.20957397270196099</v>
      </c>
    </row>
    <row r="180" spans="1:52" s="1" customFormat="1" x14ac:dyDescent="0.2">
      <c r="A180" s="2">
        <v>41215</v>
      </c>
      <c r="B180" s="1">
        <v>171</v>
      </c>
      <c r="C180" s="1">
        <v>125</v>
      </c>
      <c r="D180" s="1">
        <f>B180-C180</f>
        <v>46</v>
      </c>
      <c r="E180" s="2">
        <v>41215</v>
      </c>
      <c r="F180" s="1">
        <v>7.9</v>
      </c>
      <c r="G180" s="1">
        <v>7.9</v>
      </c>
      <c r="H180" s="1">
        <f>F180-G180</f>
        <v>0</v>
      </c>
      <c r="I180" s="2">
        <v>41228</v>
      </c>
      <c r="J180" s="1">
        <v>0.17954722872755108</v>
      </c>
      <c r="K180" s="1">
        <v>0.1</v>
      </c>
      <c r="L180" s="4">
        <f>J180-K180</f>
        <v>7.9547228727551073E-2</v>
      </c>
      <c r="P180" s="4"/>
      <c r="Q180" s="2">
        <v>42473</v>
      </c>
      <c r="R180" s="4">
        <v>-0.302514484331043</v>
      </c>
      <c r="S180" s="1">
        <v>0.1</v>
      </c>
      <c r="T180" s="4">
        <f>R180-S180</f>
        <v>-0.40251448433104298</v>
      </c>
      <c r="U180" s="2">
        <v>41246</v>
      </c>
      <c r="V180" s="1" t="s">
        <v>52</v>
      </c>
      <c r="W180" s="1" t="s">
        <v>52</v>
      </c>
      <c r="X180" s="1">
        <v>-1.8</v>
      </c>
      <c r="Y180" s="2">
        <v>41815</v>
      </c>
      <c r="Z180" s="5">
        <v>-1.0110672999999999</v>
      </c>
      <c r="AA180" s="1">
        <v>0</v>
      </c>
      <c r="AB180" s="4">
        <f>Z180-AA180</f>
        <v>-1.0110672999999999</v>
      </c>
      <c r="AC180" s="2">
        <v>41782</v>
      </c>
      <c r="AD180" s="5">
        <v>0.433</v>
      </c>
      <c r="AE180" s="6">
        <v>0.42499999999999999</v>
      </c>
      <c r="AF180" s="7">
        <f>AD180-AE180</f>
        <v>8.0000000000000071E-3</v>
      </c>
      <c r="AG180" s="8">
        <v>41240</v>
      </c>
      <c r="AH180" s="6">
        <v>71.5</v>
      </c>
      <c r="AI180" s="1">
        <v>73</v>
      </c>
      <c r="AJ180" s="1">
        <f>AH180-AI180</f>
        <v>-1.5</v>
      </c>
      <c r="AK180" s="2">
        <v>42223</v>
      </c>
      <c r="AL180" s="1">
        <v>0.20048115477143999</v>
      </c>
      <c r="AM180" s="1">
        <v>0.2</v>
      </c>
      <c r="AN180" s="4">
        <f>AL180-AM180</f>
        <v>4.8115477143997887E-4</v>
      </c>
      <c r="AO180" s="2">
        <v>41228</v>
      </c>
      <c r="AP180" s="5">
        <v>0.14562644999999999</v>
      </c>
      <c r="AQ180" s="1">
        <v>0.1</v>
      </c>
      <c r="AR180" s="4">
        <f>AP180-AQ180</f>
        <v>4.5626449999999985E-2</v>
      </c>
      <c r="AS180" s="2">
        <v>41221</v>
      </c>
      <c r="AT180" s="5">
        <v>-41.545000000000002</v>
      </c>
      <c r="AU180" s="1">
        <v>-45</v>
      </c>
      <c r="AV180" s="4">
        <f>AT180-AU180</f>
        <v>3.4549999999999983</v>
      </c>
      <c r="AW180" s="9">
        <v>41229</v>
      </c>
      <c r="AX180" s="4">
        <v>-0.43398079969981301</v>
      </c>
      <c r="AY180" s="6">
        <v>0.2</v>
      </c>
      <c r="AZ180" s="4">
        <f>AX180-AY180</f>
        <v>-0.63398079969981302</v>
      </c>
    </row>
    <row r="181" spans="1:52" s="1" customFormat="1" x14ac:dyDescent="0.2">
      <c r="A181" s="2">
        <v>41250</v>
      </c>
      <c r="B181" s="1">
        <v>146</v>
      </c>
      <c r="C181" s="1">
        <v>93</v>
      </c>
      <c r="D181" s="1">
        <f>B181-C181</f>
        <v>53</v>
      </c>
      <c r="E181" s="2">
        <v>41250</v>
      </c>
      <c r="F181" s="1">
        <v>7.7</v>
      </c>
      <c r="G181" s="1">
        <v>7.9</v>
      </c>
      <c r="H181" s="1">
        <f>F181-G181</f>
        <v>-0.20000000000000018</v>
      </c>
      <c r="I181" s="2">
        <v>41257</v>
      </c>
      <c r="J181" s="1">
        <v>0.1125570361134882</v>
      </c>
      <c r="K181" s="1">
        <v>0.2</v>
      </c>
      <c r="L181" s="4">
        <f>J181-K181</f>
        <v>-8.7442963886511807E-2</v>
      </c>
      <c r="P181" s="4"/>
      <c r="Q181" s="2">
        <v>42503</v>
      </c>
      <c r="R181" s="4">
        <v>1.2563307816672999</v>
      </c>
      <c r="S181" s="1">
        <v>0.8</v>
      </c>
      <c r="T181" s="4">
        <f>R181-S181</f>
        <v>0.4563307816672999</v>
      </c>
      <c r="U181" s="2">
        <v>41276</v>
      </c>
      <c r="V181" s="1" t="s">
        <v>52</v>
      </c>
      <c r="W181" s="1" t="s">
        <v>52</v>
      </c>
      <c r="X181" s="1">
        <v>0.4</v>
      </c>
      <c r="Y181" s="2">
        <v>41845</v>
      </c>
      <c r="Z181" s="5">
        <v>0.73773933000000003</v>
      </c>
      <c r="AA181" s="1">
        <v>0.5</v>
      </c>
      <c r="AB181" s="4">
        <f>Z181-AA181</f>
        <v>0.23773933000000003</v>
      </c>
      <c r="AC181" s="2">
        <v>41814</v>
      </c>
      <c r="AD181" s="5">
        <v>0.504</v>
      </c>
      <c r="AE181" s="6">
        <v>0.44</v>
      </c>
      <c r="AF181" s="7">
        <f>AD181-AE181</f>
        <v>6.4000000000000001E-2</v>
      </c>
      <c r="AG181" s="8">
        <v>41270</v>
      </c>
      <c r="AH181" s="6">
        <v>66.7</v>
      </c>
      <c r="AI181" s="1">
        <v>70</v>
      </c>
      <c r="AJ181" s="1">
        <f>AH181-AI181</f>
        <v>-3.2999999999999972</v>
      </c>
      <c r="AK181" s="2">
        <v>42251</v>
      </c>
      <c r="AL181" s="1">
        <v>0.319872051179521</v>
      </c>
      <c r="AM181" s="1">
        <v>0.2</v>
      </c>
      <c r="AN181" s="4">
        <f>AL181-AM181</f>
        <v>0.11987205117952099</v>
      </c>
      <c r="AO181" s="2">
        <v>41257</v>
      </c>
      <c r="AP181" s="5">
        <v>-0.31326730000000003</v>
      </c>
      <c r="AQ181" s="1">
        <v>-0.2</v>
      </c>
      <c r="AR181" s="4">
        <f>AP181-AQ181</f>
        <v>-0.11326730000000002</v>
      </c>
      <c r="AS181" s="2">
        <v>41254</v>
      </c>
      <c r="AT181" s="5">
        <v>-42.24</v>
      </c>
      <c r="AU181" s="1">
        <v>-42.6</v>
      </c>
      <c r="AV181" s="4">
        <f>AT181-AU181</f>
        <v>0.35999999999999943</v>
      </c>
      <c r="AW181" s="9">
        <v>41257</v>
      </c>
      <c r="AX181" s="4">
        <v>1.0527166681175399</v>
      </c>
      <c r="AY181" s="6">
        <v>0.3</v>
      </c>
      <c r="AZ181" s="4">
        <f>AX181-AY181</f>
        <v>0.7527166681175399</v>
      </c>
    </row>
    <row r="182" spans="1:52" s="1" customFormat="1" x14ac:dyDescent="0.2">
      <c r="A182" s="2">
        <v>41278</v>
      </c>
      <c r="B182" s="1">
        <v>155</v>
      </c>
      <c r="C182" s="1">
        <v>150</v>
      </c>
      <c r="D182" s="1">
        <f>B182-C182</f>
        <v>5</v>
      </c>
      <c r="E182" s="2">
        <v>41278</v>
      </c>
      <c r="F182" s="1">
        <v>7.8</v>
      </c>
      <c r="G182" s="1">
        <v>7.7</v>
      </c>
      <c r="H182" s="1">
        <f>F182-G182</f>
        <v>9.9999999999999645E-2</v>
      </c>
      <c r="I182" s="2">
        <v>41290</v>
      </c>
      <c r="J182" s="1">
        <v>9.5565914535533938E-2</v>
      </c>
      <c r="K182" s="1">
        <v>0.2</v>
      </c>
      <c r="L182" s="4">
        <f>J182-K182</f>
        <v>-0.10443408546446607</v>
      </c>
      <c r="P182" s="4"/>
      <c r="Q182" s="2">
        <v>42535</v>
      </c>
      <c r="R182" s="4">
        <v>0.45039583246068599</v>
      </c>
      <c r="S182" s="1">
        <v>0.3</v>
      </c>
      <c r="T182" s="4">
        <f>R182-S182</f>
        <v>0.150395832460686</v>
      </c>
      <c r="U182" s="2">
        <v>41306</v>
      </c>
      <c r="V182" s="1" t="s">
        <v>52</v>
      </c>
      <c r="W182" s="1" t="s">
        <v>52</v>
      </c>
      <c r="X182" s="1">
        <v>2.5</v>
      </c>
      <c r="Y182" s="2">
        <v>41877</v>
      </c>
      <c r="Z182" s="5">
        <v>22.5812381</v>
      </c>
      <c r="AA182" s="1">
        <v>7.5</v>
      </c>
      <c r="AB182" s="4">
        <f>Z182-AA182</f>
        <v>15.0812381</v>
      </c>
      <c r="AC182" s="2">
        <v>41844</v>
      </c>
      <c r="AD182" s="5">
        <v>0.40600000000000003</v>
      </c>
      <c r="AE182" s="6">
        <v>0.47899999999999998</v>
      </c>
      <c r="AF182" s="7">
        <f>AD182-AE182</f>
        <v>-7.2999999999999954E-2</v>
      </c>
      <c r="AG182" s="8">
        <v>41303</v>
      </c>
      <c r="AH182" s="6">
        <v>58.4</v>
      </c>
      <c r="AI182" s="1">
        <v>64</v>
      </c>
      <c r="AJ182" s="1">
        <f>AH182-AI182</f>
        <v>-5.6000000000000014</v>
      </c>
      <c r="AK182" s="2">
        <v>42279</v>
      </c>
      <c r="AL182" s="1">
        <v>-3.9840637450205399E-2</v>
      </c>
      <c r="AM182" s="1">
        <v>0.2</v>
      </c>
      <c r="AN182" s="4">
        <f>AL182-AM182</f>
        <v>-0.2398406374502054</v>
      </c>
      <c r="AO182" s="2">
        <v>41290</v>
      </c>
      <c r="AP182" s="5">
        <v>-1.99113E-2</v>
      </c>
      <c r="AQ182" s="1">
        <v>0</v>
      </c>
      <c r="AR182" s="4">
        <f>AP182-AQ182</f>
        <v>-1.99113E-2</v>
      </c>
      <c r="AS182" s="2">
        <v>41285</v>
      </c>
      <c r="AT182" s="5">
        <v>-48.731000000000002</v>
      </c>
      <c r="AU182" s="1">
        <v>-41.3</v>
      </c>
      <c r="AV182" s="4">
        <f>AT182-AU182</f>
        <v>-7.4310000000000045</v>
      </c>
      <c r="AW182" s="9">
        <v>41290</v>
      </c>
      <c r="AX182" s="4">
        <v>0.25930275461906299</v>
      </c>
      <c r="AY182" s="6">
        <v>0.3</v>
      </c>
      <c r="AZ182" s="4">
        <f>AX182-AY182</f>
        <v>-4.0697245380936997E-2</v>
      </c>
    </row>
    <row r="183" spans="1:52" s="1" customFormat="1" x14ac:dyDescent="0.2">
      <c r="A183" s="2">
        <v>41306</v>
      </c>
      <c r="B183" s="1">
        <v>157</v>
      </c>
      <c r="C183" s="1">
        <v>160</v>
      </c>
      <c r="D183" s="1">
        <f>B183-C183</f>
        <v>-3</v>
      </c>
      <c r="E183" s="2">
        <v>41306</v>
      </c>
      <c r="F183" s="1">
        <v>7.9</v>
      </c>
      <c r="G183" s="1">
        <v>7.8</v>
      </c>
      <c r="H183" s="1">
        <f>F183-G183</f>
        <v>0.10000000000000053</v>
      </c>
      <c r="I183" s="2">
        <v>41326</v>
      </c>
      <c r="J183" s="1">
        <v>0.27346365698239972</v>
      </c>
      <c r="K183" s="1">
        <v>0.2</v>
      </c>
      <c r="L183" s="4">
        <f>J183-K183</f>
        <v>7.3463656982399705E-2</v>
      </c>
      <c r="P183" s="4"/>
      <c r="Q183" s="2">
        <v>42566</v>
      </c>
      <c r="R183" s="4">
        <v>0.57641644602615905</v>
      </c>
      <c r="S183" s="1">
        <v>0.1</v>
      </c>
      <c r="T183" s="4">
        <f>R183-S183</f>
        <v>0.47641644602615907</v>
      </c>
      <c r="U183" s="2">
        <v>41334</v>
      </c>
      <c r="V183" s="1" t="s">
        <v>52</v>
      </c>
      <c r="W183" s="1" t="s">
        <v>52</v>
      </c>
      <c r="X183" s="1">
        <v>1.7</v>
      </c>
      <c r="Y183" s="2">
        <v>41907</v>
      </c>
      <c r="Z183" s="5">
        <v>-18.178090000000001</v>
      </c>
      <c r="AA183" s="1">
        <v>-18</v>
      </c>
      <c r="AB183" s="4">
        <f>Z183-AA183</f>
        <v>-0.17809000000000097</v>
      </c>
      <c r="AC183" s="2">
        <v>41876</v>
      </c>
      <c r="AD183" s="5">
        <v>0.41199999999999998</v>
      </c>
      <c r="AE183" s="6">
        <v>0.43</v>
      </c>
      <c r="AF183" s="7">
        <f>AD183-AE183</f>
        <v>-1.8000000000000016E-2</v>
      </c>
      <c r="AG183" s="8">
        <v>41331</v>
      </c>
      <c r="AH183" s="6">
        <v>68</v>
      </c>
      <c r="AI183" s="1">
        <v>61</v>
      </c>
      <c r="AJ183" s="1">
        <f>AH183-AI183</f>
        <v>7</v>
      </c>
      <c r="AK183" s="2">
        <v>42314</v>
      </c>
      <c r="AL183" s="1">
        <v>0.35842293906809902</v>
      </c>
      <c r="AM183" s="1">
        <v>0.2</v>
      </c>
      <c r="AN183" s="4">
        <f>AL183-AM183</f>
        <v>0.15842293906809901</v>
      </c>
      <c r="AO183" s="2">
        <v>41326</v>
      </c>
      <c r="AP183" s="5">
        <v>2.6391270000000001E-2</v>
      </c>
      <c r="AQ183" s="1">
        <v>0.1</v>
      </c>
      <c r="AR183" s="4">
        <f>AP183-AQ183</f>
        <v>-7.3608730000000011E-2</v>
      </c>
      <c r="AS183" s="2">
        <v>41313</v>
      </c>
      <c r="AT183" s="5">
        <v>-38.539000000000001</v>
      </c>
      <c r="AU183" s="1">
        <v>-46</v>
      </c>
      <c r="AV183" s="4">
        <f>AT183-AU183</f>
        <v>7.4609999999999985</v>
      </c>
      <c r="AW183" s="9">
        <v>41320</v>
      </c>
      <c r="AX183" s="4">
        <v>-9.8765482122431303E-2</v>
      </c>
      <c r="AY183" s="6">
        <v>0.2</v>
      </c>
      <c r="AZ183" s="4">
        <f>AX183-AY183</f>
        <v>-0.29876548212243131</v>
      </c>
    </row>
    <row r="184" spans="1:52" s="1" customFormat="1" x14ac:dyDescent="0.2">
      <c r="A184" s="2">
        <v>41341</v>
      </c>
      <c r="B184" s="1">
        <v>236</v>
      </c>
      <c r="C184" s="1">
        <v>160</v>
      </c>
      <c r="D184" s="1">
        <f>B184-C184</f>
        <v>76</v>
      </c>
      <c r="E184" s="2">
        <v>41341</v>
      </c>
      <c r="F184" s="1">
        <v>7.7</v>
      </c>
      <c r="G184" s="1">
        <v>7.9</v>
      </c>
      <c r="H184" s="1">
        <f>F184-G184</f>
        <v>-0.20000000000000018</v>
      </c>
      <c r="I184" s="2">
        <v>41348</v>
      </c>
      <c r="J184" s="1">
        <v>0.17405690454443465</v>
      </c>
      <c r="K184" s="1">
        <v>0.2</v>
      </c>
      <c r="L184" s="4">
        <f>J184-K184</f>
        <v>-2.5943095455565363E-2</v>
      </c>
      <c r="P184" s="4"/>
      <c r="Q184" s="2">
        <v>42594</v>
      </c>
      <c r="R184" s="4">
        <v>-3.7999480236994398E-2</v>
      </c>
      <c r="S184" s="1">
        <v>0.4</v>
      </c>
      <c r="T184" s="4">
        <f>R184-S184</f>
        <v>-0.43799948023699442</v>
      </c>
      <c r="U184" s="2">
        <v>41365</v>
      </c>
      <c r="V184" s="1" t="s">
        <v>52</v>
      </c>
      <c r="W184" s="1" t="s">
        <v>52</v>
      </c>
      <c r="X184" s="1">
        <v>-2.9</v>
      </c>
      <c r="Y184" s="2">
        <v>41940</v>
      </c>
      <c r="Z184" s="5">
        <v>-1.3195079999999999</v>
      </c>
      <c r="AA184" s="1">
        <v>0.5</v>
      </c>
      <c r="AB184" s="4">
        <f>Z184-AA184</f>
        <v>-1.8195079999999999</v>
      </c>
      <c r="AC184" s="2">
        <v>41906</v>
      </c>
      <c r="AD184" s="5">
        <v>0.504</v>
      </c>
      <c r="AE184" s="6">
        <v>0.43</v>
      </c>
      <c r="AF184" s="7">
        <f>AD184-AE184</f>
        <v>7.400000000000001E-2</v>
      </c>
      <c r="AG184" s="8">
        <v>41359</v>
      </c>
      <c r="AH184" s="6">
        <v>61.9</v>
      </c>
      <c r="AI184" s="1">
        <v>68</v>
      </c>
      <c r="AJ184" s="1">
        <f>AH184-AI184</f>
        <v>-6.1000000000000014</v>
      </c>
      <c r="AK184" s="2">
        <v>42342</v>
      </c>
      <c r="AL184" s="1">
        <v>0.15866719555731501</v>
      </c>
      <c r="AM184" s="1">
        <v>0.2</v>
      </c>
      <c r="AN184" s="4">
        <f>AL184-AM184</f>
        <v>-4.1332804442685001E-2</v>
      </c>
      <c r="AO184" s="2">
        <v>41348</v>
      </c>
      <c r="AP184" s="5">
        <v>0.67993667999999996</v>
      </c>
      <c r="AQ184" s="1">
        <v>0.5</v>
      </c>
      <c r="AR184" s="4">
        <f>AP184-AQ184</f>
        <v>0.17993667999999996</v>
      </c>
      <c r="AS184" s="2">
        <v>41340</v>
      </c>
      <c r="AT184" s="5">
        <v>-44.448</v>
      </c>
      <c r="AU184" s="1">
        <v>-42.6</v>
      </c>
      <c r="AV184" s="4">
        <f>AT184-AU184</f>
        <v>-1.847999999999999</v>
      </c>
      <c r="AW184" s="9">
        <v>41348</v>
      </c>
      <c r="AX184" s="4">
        <v>0.71382803951359097</v>
      </c>
      <c r="AY184" s="6">
        <v>0.4</v>
      </c>
      <c r="AZ184" s="4">
        <f>AX184-AY184</f>
        <v>0.31382803951359095</v>
      </c>
    </row>
    <row r="185" spans="1:52" s="1" customFormat="1" x14ac:dyDescent="0.2">
      <c r="A185" s="2">
        <v>41369</v>
      </c>
      <c r="B185" s="1">
        <v>88</v>
      </c>
      <c r="C185" s="1">
        <v>200</v>
      </c>
      <c r="D185" s="1">
        <f>B185-C185</f>
        <v>-112</v>
      </c>
      <c r="E185" s="2">
        <v>41369</v>
      </c>
      <c r="F185" s="1">
        <v>7.6</v>
      </c>
      <c r="G185" s="1">
        <v>7.7</v>
      </c>
      <c r="H185" s="1">
        <f>F185-G185</f>
        <v>-0.10000000000000053</v>
      </c>
      <c r="I185" s="2">
        <v>41380</v>
      </c>
      <c r="J185" s="1">
        <v>0.10580099091660186</v>
      </c>
      <c r="K185" s="1">
        <v>0.2</v>
      </c>
      <c r="L185" s="4">
        <f>J185-K185</f>
        <v>-9.419900908339815E-2</v>
      </c>
      <c r="P185" s="4"/>
      <c r="Q185" s="2">
        <v>42628</v>
      </c>
      <c r="R185" s="4">
        <v>-0.29453600746390901</v>
      </c>
      <c r="S185" s="1">
        <v>-0.1</v>
      </c>
      <c r="T185" s="4">
        <f>R185-S185</f>
        <v>-0.19453600746390901</v>
      </c>
      <c r="U185" s="2">
        <v>41395</v>
      </c>
      <c r="V185" s="1" t="s">
        <v>52</v>
      </c>
      <c r="W185" s="1" t="s">
        <v>52</v>
      </c>
      <c r="X185" s="1">
        <v>-0.2</v>
      </c>
      <c r="Y185" s="2">
        <v>41969</v>
      </c>
      <c r="Z185" s="5">
        <v>0.40316769000000002</v>
      </c>
      <c r="AA185" s="1">
        <v>-0.6</v>
      </c>
      <c r="AB185" s="4">
        <f>Z185-AA185</f>
        <v>1.0031676899999999</v>
      </c>
      <c r="AC185" s="2">
        <v>41936</v>
      </c>
      <c r="AD185" s="5">
        <v>0.46700000000000003</v>
      </c>
      <c r="AE185" s="6">
        <v>0.47</v>
      </c>
      <c r="AF185" s="7">
        <f>AD185-AE185</f>
        <v>-2.9999999999999472E-3</v>
      </c>
      <c r="AG185" s="8">
        <v>41394</v>
      </c>
      <c r="AH185" s="6">
        <v>69</v>
      </c>
      <c r="AI185" s="1">
        <v>60.8</v>
      </c>
      <c r="AJ185" s="1">
        <f>AH185-AI185</f>
        <v>8.2000000000000028</v>
      </c>
      <c r="AK185" s="2">
        <v>42377</v>
      </c>
      <c r="AL185" s="1">
        <v>-3.9603960396045801E-2</v>
      </c>
      <c r="AM185" s="1">
        <v>0.2</v>
      </c>
      <c r="AN185" s="4">
        <f>AL185-AM185</f>
        <v>-0.23960396039604581</v>
      </c>
      <c r="AO185" s="2">
        <v>41380</v>
      </c>
      <c r="AP185" s="5">
        <v>-0.1847317</v>
      </c>
      <c r="AQ185" s="1">
        <v>0</v>
      </c>
      <c r="AR185" s="4">
        <f>AP185-AQ185</f>
        <v>-0.1847317</v>
      </c>
      <c r="AS185" s="2">
        <v>41369</v>
      </c>
      <c r="AT185" s="5">
        <v>-42.96</v>
      </c>
      <c r="AU185" s="1">
        <v>-44.6</v>
      </c>
      <c r="AV185" s="4">
        <f>AT185-AU185</f>
        <v>1.6400000000000006</v>
      </c>
      <c r="AW185" s="9">
        <v>41380</v>
      </c>
      <c r="AX185" s="4">
        <v>0.40717409670233801</v>
      </c>
      <c r="AY185" s="6">
        <v>0.2</v>
      </c>
      <c r="AZ185" s="4">
        <f>AX185-AY185</f>
        <v>0.207174096702338</v>
      </c>
    </row>
    <row r="186" spans="1:52" s="1" customFormat="1" x14ac:dyDescent="0.2">
      <c r="A186" s="2">
        <v>41397</v>
      </c>
      <c r="B186" s="1">
        <v>165</v>
      </c>
      <c r="C186" s="1">
        <v>145</v>
      </c>
      <c r="D186" s="1">
        <f>B186-C186</f>
        <v>20</v>
      </c>
      <c r="E186" s="2">
        <v>41397</v>
      </c>
      <c r="F186" s="1">
        <v>7.5</v>
      </c>
      <c r="G186" s="1">
        <v>7.6</v>
      </c>
      <c r="H186" s="1">
        <f>F186-G186</f>
        <v>-9.9999999999999645E-2</v>
      </c>
      <c r="I186" s="2">
        <v>41410</v>
      </c>
      <c r="J186" s="1">
        <v>5.1985323812707145E-2</v>
      </c>
      <c r="K186" s="1">
        <v>0.2</v>
      </c>
      <c r="L186" s="4">
        <f>J186-K186</f>
        <v>-0.14801467618729286</v>
      </c>
      <c r="P186" s="4"/>
      <c r="Q186" s="2">
        <v>42657</v>
      </c>
      <c r="R186" s="4">
        <v>0.62257098841076997</v>
      </c>
      <c r="S186" s="1">
        <v>0.6</v>
      </c>
      <c r="T186" s="4">
        <f>R186-S186</f>
        <v>2.2570988410769988E-2</v>
      </c>
      <c r="U186" s="2">
        <v>41428</v>
      </c>
      <c r="V186" s="1" t="s">
        <v>52</v>
      </c>
      <c r="W186" s="1" t="s">
        <v>52</v>
      </c>
      <c r="X186" s="1">
        <v>-1.7</v>
      </c>
      <c r="Y186" s="2">
        <v>41996</v>
      </c>
      <c r="Z186" s="5">
        <v>-0.67847329999999995</v>
      </c>
      <c r="AA186" s="1">
        <v>2.9</v>
      </c>
      <c r="AB186" s="4">
        <f>Z186-AA186</f>
        <v>-3.5784732999999997</v>
      </c>
      <c r="AC186" s="2">
        <v>41969</v>
      </c>
      <c r="AD186" s="5">
        <v>0.45800000000000002</v>
      </c>
      <c r="AE186" s="6">
        <v>0.47199999999999998</v>
      </c>
      <c r="AF186" s="7">
        <f>AD186-AE186</f>
        <v>-1.3999999999999957E-2</v>
      </c>
      <c r="AG186" s="8">
        <v>41422</v>
      </c>
      <c r="AH186" s="6">
        <v>74.3</v>
      </c>
      <c r="AI186" s="1">
        <v>71</v>
      </c>
      <c r="AJ186" s="1">
        <f>AH186-AI186</f>
        <v>3.2999999999999972</v>
      </c>
      <c r="AK186" s="2">
        <v>42405</v>
      </c>
      <c r="AL186" s="1">
        <v>0.47487138899881598</v>
      </c>
      <c r="AM186" s="1">
        <v>0.3</v>
      </c>
      <c r="AN186" s="4">
        <f>AL186-AM186</f>
        <v>0.17487138899881599</v>
      </c>
      <c r="AO186" s="2">
        <v>41410</v>
      </c>
      <c r="AP186" s="5">
        <v>-0.36799520000000002</v>
      </c>
      <c r="AQ186" s="1">
        <v>-0.2</v>
      </c>
      <c r="AR186" s="4">
        <f>AP186-AQ186</f>
        <v>-0.16799520000000001</v>
      </c>
      <c r="AS186" s="2">
        <v>41396</v>
      </c>
      <c r="AT186" s="5">
        <v>-38.829000000000001</v>
      </c>
      <c r="AU186" s="1">
        <v>-42</v>
      </c>
      <c r="AV186" s="4">
        <f>AT186-AU186</f>
        <v>3.1709999999999994</v>
      </c>
      <c r="AW186" s="9">
        <v>41409</v>
      </c>
      <c r="AX186" s="4">
        <v>-0.53467801967671402</v>
      </c>
      <c r="AY186" s="6">
        <v>-0.2</v>
      </c>
      <c r="AZ186" s="4">
        <f>AX186-AY186</f>
        <v>-0.33467801967671401</v>
      </c>
    </row>
    <row r="187" spans="1:52" s="1" customFormat="1" x14ac:dyDescent="0.2">
      <c r="A187" s="2">
        <v>41432</v>
      </c>
      <c r="B187" s="1">
        <v>175</v>
      </c>
      <c r="C187" s="1">
        <v>170</v>
      </c>
      <c r="D187" s="1">
        <f>B187-C187</f>
        <v>5</v>
      </c>
      <c r="E187" s="2">
        <v>41432</v>
      </c>
      <c r="F187" s="1">
        <v>7.6</v>
      </c>
      <c r="G187" s="1">
        <v>7.5</v>
      </c>
      <c r="H187" s="1">
        <f>F187-G187</f>
        <v>9.9999999999999645E-2</v>
      </c>
      <c r="I187" s="2">
        <v>41443</v>
      </c>
      <c r="J187" s="1">
        <v>0.16661012800639183</v>
      </c>
      <c r="K187" s="1">
        <v>0.2</v>
      </c>
      <c r="L187" s="4">
        <f>J187-K187</f>
        <v>-3.3389871993608183E-2</v>
      </c>
      <c r="P187" s="4"/>
      <c r="Q187" s="2">
        <v>42689</v>
      </c>
      <c r="R187" s="4">
        <v>0.82405335572357796</v>
      </c>
      <c r="S187" s="1">
        <v>0.6</v>
      </c>
      <c r="T187" s="4">
        <f>R187-S187</f>
        <v>0.22405335572357798</v>
      </c>
      <c r="U187" s="2">
        <v>41456</v>
      </c>
      <c r="V187" s="1" t="s">
        <v>52</v>
      </c>
      <c r="W187" s="1" t="s">
        <v>52</v>
      </c>
      <c r="X187" s="1">
        <v>0.4</v>
      </c>
      <c r="Y187" s="2">
        <v>42031</v>
      </c>
      <c r="Z187" s="5">
        <v>-3.4090194999999999</v>
      </c>
      <c r="AA187" s="1">
        <v>0.5</v>
      </c>
      <c r="AB187" s="4">
        <f>Z187-AA187</f>
        <v>-3.9090194999999999</v>
      </c>
      <c r="AC187" s="2">
        <v>41996</v>
      </c>
      <c r="AD187" s="5">
        <v>0.438</v>
      </c>
      <c r="AE187" s="6">
        <v>0.46</v>
      </c>
      <c r="AF187" s="7">
        <f>AD187-AE187</f>
        <v>-2.200000000000002E-2</v>
      </c>
      <c r="AG187" s="8">
        <v>41450</v>
      </c>
      <c r="AH187" s="6">
        <v>82.1</v>
      </c>
      <c r="AI187" s="1">
        <v>75.400000000000006</v>
      </c>
      <c r="AJ187" s="1">
        <f>AH187-AI187</f>
        <v>6.6999999999999886</v>
      </c>
      <c r="AK187" s="2">
        <v>42433</v>
      </c>
      <c r="AL187" s="1">
        <v>-0.118203309692661</v>
      </c>
      <c r="AM187" s="1">
        <v>0.2</v>
      </c>
      <c r="AN187" s="4">
        <f>AL187-AM187</f>
        <v>-0.31820330969266103</v>
      </c>
      <c r="AO187" s="2">
        <v>41443</v>
      </c>
      <c r="AP187" s="5">
        <v>0.14946973</v>
      </c>
      <c r="AQ187" s="1">
        <v>0.2</v>
      </c>
      <c r="AR187" s="4">
        <f>AP187-AQ187</f>
        <v>-5.0530270000000016E-2</v>
      </c>
      <c r="AS187" s="2">
        <v>41429</v>
      </c>
      <c r="AT187" s="5">
        <v>-40.293999999999997</v>
      </c>
      <c r="AU187" s="1">
        <v>-41</v>
      </c>
      <c r="AV187" s="4">
        <f>AT187-AU187</f>
        <v>0.70600000000000307</v>
      </c>
      <c r="AW187" s="9">
        <v>41439</v>
      </c>
      <c r="AX187" s="4">
        <v>3.5889715163414597E-2</v>
      </c>
      <c r="AY187" s="6">
        <v>0.2</v>
      </c>
      <c r="AZ187" s="4">
        <f>AX187-AY187</f>
        <v>-0.16411028483658541</v>
      </c>
    </row>
    <row r="188" spans="1:52" s="1" customFormat="1" x14ac:dyDescent="0.2">
      <c r="A188" s="2">
        <v>41460</v>
      </c>
      <c r="B188" s="1">
        <v>195</v>
      </c>
      <c r="C188" s="1">
        <v>165</v>
      </c>
      <c r="D188" s="1">
        <f>B188-C188</f>
        <v>30</v>
      </c>
      <c r="E188" s="2">
        <v>41460</v>
      </c>
      <c r="F188" s="1">
        <v>7.6</v>
      </c>
      <c r="G188" s="1">
        <v>7.5</v>
      </c>
      <c r="H188" s="1">
        <f>F188-G188</f>
        <v>9.9999999999999645E-2</v>
      </c>
      <c r="I188" s="2">
        <v>41471</v>
      </c>
      <c r="J188" s="1">
        <v>0.1611886807821101</v>
      </c>
      <c r="K188" s="1">
        <v>0.2</v>
      </c>
      <c r="L188" s="4">
        <f>J188-K188</f>
        <v>-3.8811319217889911E-2</v>
      </c>
      <c r="P188" s="4"/>
      <c r="Q188" s="2">
        <v>42718</v>
      </c>
      <c r="R188" s="4">
        <v>8.1266729014157102E-2</v>
      </c>
      <c r="S188" s="1">
        <v>0.3</v>
      </c>
      <c r="T188" s="4">
        <f>R188-S188</f>
        <v>-0.21873327098584289</v>
      </c>
      <c r="U188" s="2">
        <v>41487</v>
      </c>
      <c r="V188" s="1" t="s">
        <v>52</v>
      </c>
      <c r="W188" s="1" t="s">
        <v>52</v>
      </c>
      <c r="X188" s="1">
        <v>3.4</v>
      </c>
      <c r="Y188" s="2">
        <v>42061</v>
      </c>
      <c r="Z188" s="5">
        <v>2.8264012300000001</v>
      </c>
      <c r="AA188" s="1">
        <v>1.7</v>
      </c>
      <c r="AB188" s="4">
        <f>Z188-AA188</f>
        <v>1.1264012300000001</v>
      </c>
      <c r="AC188" s="2">
        <v>42031</v>
      </c>
      <c r="AD188" s="5">
        <v>0.48099999999999998</v>
      </c>
      <c r="AE188" s="6">
        <v>0.45</v>
      </c>
      <c r="AF188" s="7">
        <f>AD188-AE188</f>
        <v>3.0999999999999972E-2</v>
      </c>
      <c r="AG188" s="8">
        <v>41485</v>
      </c>
      <c r="AH188" s="6">
        <v>81</v>
      </c>
      <c r="AI188" s="1">
        <v>81.400000000000006</v>
      </c>
      <c r="AJ188" s="1">
        <f>AH188-AI188</f>
        <v>-0.40000000000000568</v>
      </c>
      <c r="AK188" s="2">
        <v>42461</v>
      </c>
      <c r="AL188" s="1">
        <v>0.276025236593061</v>
      </c>
      <c r="AM188" s="1">
        <v>0.2</v>
      </c>
      <c r="AN188" s="4">
        <f>AL188-AM188</f>
        <v>7.6025236593060985E-2</v>
      </c>
      <c r="AO188" s="2">
        <v>41471</v>
      </c>
      <c r="AP188" s="5">
        <v>0.48009109999999999</v>
      </c>
      <c r="AQ188" s="1">
        <v>0.3</v>
      </c>
      <c r="AR188" s="4">
        <f>AP188-AQ188</f>
        <v>0.1800911</v>
      </c>
      <c r="AS188" s="2">
        <v>41458</v>
      </c>
      <c r="AT188" s="5">
        <v>-45.027000000000001</v>
      </c>
      <c r="AU188" s="1">
        <v>-40.1</v>
      </c>
      <c r="AV188" s="4">
        <f>AT188-AU188</f>
        <v>-4.9269999999999996</v>
      </c>
      <c r="AW188" s="9">
        <v>41471</v>
      </c>
      <c r="AX188" s="4">
        <v>0.31272121126809499</v>
      </c>
      <c r="AY188" s="6">
        <v>0.2</v>
      </c>
      <c r="AZ188" s="4">
        <f>AX188-AY188</f>
        <v>0.11272121126809498</v>
      </c>
    </row>
    <row r="189" spans="1:52" s="1" customFormat="1" x14ac:dyDescent="0.2">
      <c r="A189" s="2">
        <v>41488</v>
      </c>
      <c r="B189" s="1">
        <v>162</v>
      </c>
      <c r="C189" s="1">
        <v>184</v>
      </c>
      <c r="D189" s="1">
        <f>B189-C189</f>
        <v>-22</v>
      </c>
      <c r="E189" s="2">
        <v>41488</v>
      </c>
      <c r="F189" s="1">
        <v>7.4</v>
      </c>
      <c r="G189" s="1">
        <v>7.5</v>
      </c>
      <c r="H189" s="1">
        <f>F189-G189</f>
        <v>-9.9999999999999645E-2</v>
      </c>
      <c r="I189" s="2">
        <v>41501</v>
      </c>
      <c r="J189" s="1">
        <v>0.15450922989346566</v>
      </c>
      <c r="K189" s="1">
        <v>0.2</v>
      </c>
      <c r="L189" s="4">
        <f>J189-K189</f>
        <v>-4.5490770106534351E-2</v>
      </c>
      <c r="P189" s="4"/>
      <c r="Q189" s="2">
        <v>42748</v>
      </c>
      <c r="R189" s="4">
        <v>0.62745754203965498</v>
      </c>
      <c r="S189" s="1">
        <v>0.7</v>
      </c>
      <c r="T189" s="4">
        <f>R189-S189</f>
        <v>-7.2542457960344975E-2</v>
      </c>
      <c r="U189" s="2">
        <v>41520</v>
      </c>
      <c r="V189" s="1" t="s">
        <v>52</v>
      </c>
      <c r="W189" s="1" t="s">
        <v>52</v>
      </c>
      <c r="X189" s="1">
        <v>1.7</v>
      </c>
      <c r="Y189" s="2">
        <v>42088</v>
      </c>
      <c r="Z189" s="5">
        <v>-1.3524579999999999</v>
      </c>
      <c r="AA189" s="1">
        <v>0.4</v>
      </c>
      <c r="AB189" s="4">
        <f>Z189-AA189</f>
        <v>-1.7524579999999998</v>
      </c>
      <c r="AC189" s="2">
        <v>42060</v>
      </c>
      <c r="AD189" s="5">
        <v>0.48099999999999998</v>
      </c>
      <c r="AE189" s="6">
        <v>0.47</v>
      </c>
      <c r="AF189" s="7">
        <f>AD189-AE189</f>
        <v>1.100000000000001E-2</v>
      </c>
      <c r="AG189" s="8">
        <v>41513</v>
      </c>
      <c r="AH189" s="6">
        <v>81.8</v>
      </c>
      <c r="AI189" s="1">
        <v>79</v>
      </c>
      <c r="AJ189" s="1">
        <f>AH189-AI189</f>
        <v>2.7999999999999972</v>
      </c>
      <c r="AK189" s="2">
        <v>42496</v>
      </c>
      <c r="AL189" s="1">
        <v>0.31434184675835602</v>
      </c>
      <c r="AM189" s="1">
        <v>0.3</v>
      </c>
      <c r="AN189" s="4">
        <f>AL189-AM189</f>
        <v>1.4341846758356036E-2</v>
      </c>
      <c r="AO189" s="2">
        <v>41501</v>
      </c>
      <c r="AP189" s="5">
        <v>0.16055361000000001</v>
      </c>
      <c r="AQ189" s="1">
        <v>0.2</v>
      </c>
      <c r="AR189" s="4">
        <f>AP189-AQ189</f>
        <v>-3.9446389999999998E-2</v>
      </c>
      <c r="AS189" s="2">
        <v>41492</v>
      </c>
      <c r="AT189" s="5">
        <v>-34.223999999999997</v>
      </c>
      <c r="AU189" s="1">
        <v>-43.5</v>
      </c>
      <c r="AV189" s="4">
        <f>AT189-AU189</f>
        <v>9.2760000000000034</v>
      </c>
      <c r="AW189" s="9">
        <v>41501</v>
      </c>
      <c r="AX189" s="4">
        <v>3.8116036538822097E-2</v>
      </c>
      <c r="AY189" s="6">
        <v>0.3</v>
      </c>
      <c r="AZ189" s="4">
        <f>AX189-AY189</f>
        <v>-0.26188396346117787</v>
      </c>
    </row>
    <row r="190" spans="1:52" s="1" customFormat="1" x14ac:dyDescent="0.2">
      <c r="A190" s="2">
        <v>41523</v>
      </c>
      <c r="B190" s="1">
        <v>169</v>
      </c>
      <c r="C190" s="1">
        <v>180</v>
      </c>
      <c r="D190" s="1">
        <f>B190-C190</f>
        <v>-11</v>
      </c>
      <c r="E190" s="2">
        <v>41523</v>
      </c>
      <c r="F190" s="1">
        <v>7.3</v>
      </c>
      <c r="G190" s="1">
        <v>7.4</v>
      </c>
      <c r="H190" s="1">
        <f>F190-G190</f>
        <v>-0.10000000000000053</v>
      </c>
      <c r="I190" s="2">
        <v>41534</v>
      </c>
      <c r="J190" s="1">
        <v>0.12734825045725792</v>
      </c>
      <c r="K190" s="1">
        <v>0.1</v>
      </c>
      <c r="L190" s="4">
        <f>J190-K190</f>
        <v>2.7348250457257917E-2</v>
      </c>
      <c r="P190" s="4"/>
      <c r="Q190" s="2">
        <v>42781</v>
      </c>
      <c r="R190" s="4">
        <v>0.357309107449926</v>
      </c>
      <c r="S190" s="1">
        <v>0.1</v>
      </c>
      <c r="T190" s="4">
        <f>R190-S190</f>
        <v>0.25730910744992597</v>
      </c>
      <c r="U190" s="2">
        <v>41548</v>
      </c>
      <c r="V190" s="1" t="s">
        <v>52</v>
      </c>
      <c r="W190" s="1" t="s">
        <v>52</v>
      </c>
      <c r="X190" s="1">
        <v>1.2</v>
      </c>
      <c r="Y190" s="2">
        <v>42118</v>
      </c>
      <c r="Z190" s="5">
        <v>4.01193533</v>
      </c>
      <c r="AA190" s="1">
        <v>0.6</v>
      </c>
      <c r="AB190" s="4">
        <f>Z190-AA190</f>
        <v>3.4119353299999999</v>
      </c>
      <c r="AC190" s="2">
        <v>42087</v>
      </c>
      <c r="AD190" s="5">
        <v>0.53900000000000003</v>
      </c>
      <c r="AE190" s="6">
        <v>0.46500000000000002</v>
      </c>
      <c r="AF190" s="7">
        <f>AD190-AE190</f>
        <v>7.400000000000001E-2</v>
      </c>
      <c r="AG190" s="8">
        <v>41541</v>
      </c>
      <c r="AH190" s="6">
        <v>80.2</v>
      </c>
      <c r="AI190" s="1">
        <v>79.900000000000006</v>
      </c>
      <c r="AJ190" s="1">
        <f>AH190-AI190</f>
        <v>0.29999999999999716</v>
      </c>
      <c r="AK190" s="2">
        <v>42524</v>
      </c>
      <c r="AL190" s="1">
        <v>0.195771339075962</v>
      </c>
      <c r="AM190" s="1">
        <v>0.2</v>
      </c>
      <c r="AN190" s="4">
        <f>AL190-AM190</f>
        <v>-4.228660924038008E-3</v>
      </c>
      <c r="AO190" s="2">
        <v>41534</v>
      </c>
      <c r="AP190" s="5">
        <v>8.9148720000000001E-2</v>
      </c>
      <c r="AQ190" s="1">
        <v>0.2</v>
      </c>
      <c r="AR190" s="4">
        <f>AP190-AQ190</f>
        <v>-0.11085128000000001</v>
      </c>
      <c r="AS190" s="2">
        <v>41521</v>
      </c>
      <c r="AT190" s="5">
        <v>-39.146999999999998</v>
      </c>
      <c r="AU190" s="1">
        <v>-38.700000000000003</v>
      </c>
      <c r="AV190" s="4">
        <f>AT190-AU190</f>
        <v>-0.44699999999999562</v>
      </c>
      <c r="AW190" s="9">
        <v>41533</v>
      </c>
      <c r="AX190" s="4">
        <v>0.40542984962109901</v>
      </c>
      <c r="AY190" s="6">
        <v>0.4</v>
      </c>
      <c r="AZ190" s="4">
        <f>AX190-AY190</f>
        <v>5.4298496210989922E-3</v>
      </c>
    </row>
    <row r="191" spans="1:52" s="1" customFormat="1" x14ac:dyDescent="0.2">
      <c r="A191" s="2">
        <v>41569</v>
      </c>
      <c r="B191" s="1">
        <v>148</v>
      </c>
      <c r="C191" s="1">
        <v>180</v>
      </c>
      <c r="D191" s="1">
        <f>B191-C191</f>
        <v>-32</v>
      </c>
      <c r="E191" s="2">
        <v>41569</v>
      </c>
      <c r="F191" s="1">
        <v>7.2</v>
      </c>
      <c r="G191" s="1">
        <v>7.3</v>
      </c>
      <c r="H191" s="1">
        <f>F191-G191</f>
        <v>-9.9999999999999645E-2</v>
      </c>
      <c r="I191" s="2">
        <v>41577</v>
      </c>
      <c r="J191" s="1">
        <v>0.12249148534797234</v>
      </c>
      <c r="K191" s="1">
        <v>0.2</v>
      </c>
      <c r="L191" s="4">
        <f>J191-K191</f>
        <v>-7.7508514652027669E-2</v>
      </c>
      <c r="P191" s="4"/>
      <c r="Q191" s="2">
        <v>42809</v>
      </c>
      <c r="R191" s="4">
        <v>7.9600687479677495E-2</v>
      </c>
      <c r="S191" s="1">
        <v>0.1</v>
      </c>
      <c r="T191" s="4">
        <f>R191-S191</f>
        <v>-2.039931252032251E-2</v>
      </c>
      <c r="U191" s="2">
        <v>41579</v>
      </c>
      <c r="V191" s="1" t="s">
        <v>52</v>
      </c>
      <c r="W191" s="1" t="s">
        <v>52</v>
      </c>
      <c r="X191" s="1">
        <v>1.4</v>
      </c>
      <c r="Y191" s="2">
        <v>42150</v>
      </c>
      <c r="Z191" s="5">
        <v>-0.50018799999999997</v>
      </c>
      <c r="AA191" s="1">
        <v>-0.5</v>
      </c>
      <c r="AB191" s="4">
        <f>Z191-AA191</f>
        <v>-1.8799999999996597E-4</v>
      </c>
      <c r="AC191" s="2">
        <v>42117</v>
      </c>
      <c r="AD191" s="5">
        <v>0.48099999999999998</v>
      </c>
      <c r="AE191" s="6">
        <v>0.51300000000000001</v>
      </c>
      <c r="AF191" s="7">
        <f>AD191-AE191</f>
        <v>-3.2000000000000028E-2</v>
      </c>
      <c r="AG191" s="8">
        <v>41576</v>
      </c>
      <c r="AH191" s="6">
        <v>72.400000000000006</v>
      </c>
      <c r="AI191" s="1">
        <v>75</v>
      </c>
      <c r="AJ191" s="1">
        <f>AH191-AI191</f>
        <v>-2.5999999999999943</v>
      </c>
      <c r="AK191" s="2">
        <v>42559</v>
      </c>
      <c r="AL191" s="1">
        <v>7.81555295037107E-2</v>
      </c>
      <c r="AM191" s="1">
        <v>0.2</v>
      </c>
      <c r="AN191" s="4">
        <f>AL191-AM191</f>
        <v>-0.12184447049628931</v>
      </c>
      <c r="AO191" s="2">
        <v>41577</v>
      </c>
      <c r="AP191" s="5">
        <v>0.18027971000000001</v>
      </c>
      <c r="AQ191" s="1">
        <v>0.2</v>
      </c>
      <c r="AR191" s="4">
        <f>AP191-AQ191</f>
        <v>-1.9720290000000001E-2</v>
      </c>
      <c r="AS191" s="2">
        <v>41571</v>
      </c>
      <c r="AT191" s="5">
        <v>-38.802999999999997</v>
      </c>
      <c r="AU191" s="1">
        <v>-39.5</v>
      </c>
      <c r="AV191" s="4">
        <f>AT191-AU191</f>
        <v>0.69700000000000273</v>
      </c>
      <c r="AW191" s="9">
        <v>41575</v>
      </c>
      <c r="AX191" s="4">
        <v>0.57159918090218298</v>
      </c>
      <c r="AY191" s="6">
        <v>0.4</v>
      </c>
      <c r="AZ191" s="4">
        <f>AX191-AY191</f>
        <v>0.17159918090218296</v>
      </c>
    </row>
    <row r="192" spans="1:52" s="1" customFormat="1" x14ac:dyDescent="0.2">
      <c r="A192" s="2">
        <v>41586</v>
      </c>
      <c r="B192" s="1">
        <v>204</v>
      </c>
      <c r="C192" s="1">
        <v>125</v>
      </c>
      <c r="D192" s="1">
        <f>B192-C192</f>
        <v>79</v>
      </c>
      <c r="E192" s="2">
        <v>41586</v>
      </c>
      <c r="F192" s="1">
        <v>7.3</v>
      </c>
      <c r="G192" s="1">
        <v>7.3</v>
      </c>
      <c r="H192" s="1">
        <f>F192-G192</f>
        <v>0</v>
      </c>
      <c r="I192" s="2">
        <v>41598</v>
      </c>
      <c r="J192" s="1">
        <v>0.12276790471846971</v>
      </c>
      <c r="K192" s="1">
        <v>0.1</v>
      </c>
      <c r="L192" s="4">
        <f>J192-K192</f>
        <v>2.2767904718469706E-2</v>
      </c>
      <c r="P192" s="4"/>
      <c r="Q192" s="2">
        <v>42839</v>
      </c>
      <c r="R192" s="4">
        <v>-0.21637544636707501</v>
      </c>
      <c r="S192" s="1">
        <v>-0.1</v>
      </c>
      <c r="T192" s="4">
        <f>R192-S192</f>
        <v>-0.116375446367075</v>
      </c>
      <c r="U192" s="2">
        <v>41610</v>
      </c>
      <c r="V192" s="1" t="s">
        <v>52</v>
      </c>
      <c r="W192" s="1" t="s">
        <v>52</v>
      </c>
      <c r="X192" s="1">
        <v>2.2999999999999998</v>
      </c>
      <c r="Y192" s="2">
        <v>42178</v>
      </c>
      <c r="Z192" s="5">
        <v>-1.7667253000000001</v>
      </c>
      <c r="AA192" s="1">
        <v>-0.6</v>
      </c>
      <c r="AB192" s="4">
        <f>Z192-AA192</f>
        <v>-1.1667253</v>
      </c>
      <c r="AC192" s="2">
        <v>42150</v>
      </c>
      <c r="AD192" s="5">
        <v>0.51700000000000002</v>
      </c>
      <c r="AE192" s="6">
        <v>0.51</v>
      </c>
      <c r="AF192" s="7">
        <f>AD192-AE192</f>
        <v>7.0000000000000062E-3</v>
      </c>
      <c r="AG192" s="8">
        <v>41604</v>
      </c>
      <c r="AH192" s="6">
        <v>72</v>
      </c>
      <c r="AI192" s="1">
        <v>72.900000000000006</v>
      </c>
      <c r="AJ192" s="1">
        <f>AH192-AI192</f>
        <v>-0.90000000000000568</v>
      </c>
      <c r="AK192" s="2">
        <v>42587</v>
      </c>
      <c r="AL192" s="1">
        <v>0.31237797735260298</v>
      </c>
      <c r="AM192" s="1">
        <v>0.2</v>
      </c>
      <c r="AN192" s="4">
        <f>AL192-AM192</f>
        <v>0.11237797735260296</v>
      </c>
      <c r="AO192" s="2">
        <v>41598</v>
      </c>
      <c r="AP192" s="5">
        <v>-5.9415200000000001E-2</v>
      </c>
      <c r="AQ192" s="1">
        <v>0</v>
      </c>
      <c r="AR192" s="4">
        <f>AP192-AQ192</f>
        <v>-5.9415200000000001E-2</v>
      </c>
      <c r="AS192" s="2">
        <v>41592</v>
      </c>
      <c r="AT192" s="5">
        <v>-41.777999999999999</v>
      </c>
      <c r="AU192" s="1">
        <v>-39</v>
      </c>
      <c r="AV192" s="4">
        <f>AT192-AU192</f>
        <v>-2.7779999999999987</v>
      </c>
      <c r="AW192" s="9">
        <v>41593</v>
      </c>
      <c r="AX192" s="4">
        <v>-0.14033398489587101</v>
      </c>
      <c r="AY192" s="6">
        <v>0.2</v>
      </c>
      <c r="AZ192" s="4">
        <f>AX192-AY192</f>
        <v>-0.34033398489587102</v>
      </c>
    </row>
    <row r="193" spans="1:52" s="1" customFormat="1" x14ac:dyDescent="0.2">
      <c r="A193" s="2">
        <v>41614</v>
      </c>
      <c r="B193" s="1">
        <v>203</v>
      </c>
      <c r="C193" s="1">
        <v>180</v>
      </c>
      <c r="D193" s="1">
        <f>B193-C193</f>
        <v>23</v>
      </c>
      <c r="E193" s="2">
        <v>41614</v>
      </c>
      <c r="F193" s="1">
        <v>7</v>
      </c>
      <c r="G193" s="1">
        <v>7.2</v>
      </c>
      <c r="H193" s="1">
        <f>F193-G193</f>
        <v>-0.20000000000000018</v>
      </c>
      <c r="I193" s="2">
        <v>41625</v>
      </c>
      <c r="J193" s="1">
        <v>0.15454897669844198</v>
      </c>
      <c r="K193" s="1">
        <v>0.1</v>
      </c>
      <c r="L193" s="4">
        <f>J193-K193</f>
        <v>5.454897669844197E-2</v>
      </c>
      <c r="P193" s="4"/>
      <c r="Q193" s="2">
        <v>42867</v>
      </c>
      <c r="R193" s="4">
        <v>0.39019069883450003</v>
      </c>
      <c r="S193" s="1">
        <v>0.6</v>
      </c>
      <c r="T193" s="4">
        <f>R193-S193</f>
        <v>-0.20980930116549995</v>
      </c>
      <c r="U193" s="2">
        <v>41641</v>
      </c>
      <c r="V193" s="1" t="s">
        <v>52</v>
      </c>
      <c r="W193" s="1" t="s">
        <v>52</v>
      </c>
      <c r="X193" s="1">
        <v>0</v>
      </c>
      <c r="Y193" s="2">
        <v>42212</v>
      </c>
      <c r="Z193" s="5">
        <v>3.3644153800000001</v>
      </c>
      <c r="AA193" s="1">
        <v>3</v>
      </c>
      <c r="AB193" s="4">
        <f>Z193-AA193</f>
        <v>0.36441538000000007</v>
      </c>
      <c r="AC193" s="2">
        <v>42178</v>
      </c>
      <c r="AD193" s="5">
        <v>0.54600000000000004</v>
      </c>
      <c r="AE193" s="6">
        <v>0.52500000000000002</v>
      </c>
      <c r="AF193" s="7">
        <f>AD193-AE193</f>
        <v>2.1000000000000019E-2</v>
      </c>
      <c r="AG193" s="8">
        <v>41639</v>
      </c>
      <c r="AH193" s="6">
        <v>77.5</v>
      </c>
      <c r="AI193" s="1">
        <v>76</v>
      </c>
      <c r="AJ193" s="1">
        <f>AH193-AI193</f>
        <v>1.5</v>
      </c>
      <c r="AK193" s="2">
        <v>42615</v>
      </c>
      <c r="AL193" s="1">
        <v>0.116731517509732</v>
      </c>
      <c r="AM193" s="1">
        <v>0.2</v>
      </c>
      <c r="AN193" s="4">
        <f>AL193-AM193</f>
        <v>-8.3268482490268012E-2</v>
      </c>
      <c r="AO193" s="2">
        <v>41625</v>
      </c>
      <c r="AP193" s="5">
        <v>3.3788409999999998E-2</v>
      </c>
      <c r="AQ193" s="1">
        <v>0.1</v>
      </c>
      <c r="AR193" s="4">
        <f>AP193-AQ193</f>
        <v>-6.6211590000000015E-2</v>
      </c>
      <c r="AS193" s="2">
        <v>41612</v>
      </c>
      <c r="AT193" s="5">
        <v>-40.640999999999998</v>
      </c>
      <c r="AU193" s="1">
        <v>-40</v>
      </c>
      <c r="AV193" s="4">
        <f>AT193-AU193</f>
        <v>-0.64099999999999824</v>
      </c>
      <c r="AW193" s="9">
        <v>41624</v>
      </c>
      <c r="AX193" s="4">
        <v>1.1278754783935301</v>
      </c>
      <c r="AY193" s="6">
        <v>0.5</v>
      </c>
      <c r="AZ193" s="4">
        <f>AX193-AY193</f>
        <v>0.62787547839353008</v>
      </c>
    </row>
    <row r="194" spans="1:52" s="1" customFormat="1" x14ac:dyDescent="0.2">
      <c r="A194" s="2">
        <v>41649</v>
      </c>
      <c r="B194" s="1">
        <v>74</v>
      </c>
      <c r="C194" s="1">
        <v>196</v>
      </c>
      <c r="D194" s="1">
        <f>B194-C194</f>
        <v>-122</v>
      </c>
      <c r="E194" s="2">
        <v>41649</v>
      </c>
      <c r="F194" s="1">
        <v>6.7</v>
      </c>
      <c r="G194" s="1">
        <v>7</v>
      </c>
      <c r="H194" s="1">
        <f>F194-G194</f>
        <v>-0.29999999999999982</v>
      </c>
      <c r="I194" s="2">
        <v>41655</v>
      </c>
      <c r="J194" s="1">
        <v>0.10882502975684417</v>
      </c>
      <c r="K194" s="1">
        <v>0.1</v>
      </c>
      <c r="L194" s="4">
        <f>J194-K194</f>
        <v>8.8250297568441688E-3</v>
      </c>
      <c r="P194" s="4"/>
      <c r="Q194" s="2">
        <v>42900</v>
      </c>
      <c r="R194" s="4">
        <v>-0.25283731466140602</v>
      </c>
      <c r="S194" s="1">
        <v>0.1</v>
      </c>
      <c r="T194" s="4">
        <f>R194-S194</f>
        <v>-0.352837314661406</v>
      </c>
      <c r="U194" s="2">
        <v>41673</v>
      </c>
      <c r="V194" s="1" t="s">
        <v>52</v>
      </c>
      <c r="W194" s="1" t="s">
        <v>52</v>
      </c>
      <c r="X194" s="1">
        <v>-4.7</v>
      </c>
      <c r="Y194" s="2">
        <v>42242</v>
      </c>
      <c r="Z194" s="5">
        <v>1.95315638</v>
      </c>
      <c r="AA194" s="1">
        <v>-0.4</v>
      </c>
      <c r="AB194" s="4">
        <f>Z194-AA194</f>
        <v>2.3531563800000002</v>
      </c>
      <c r="AC194" s="2">
        <v>42209</v>
      </c>
      <c r="AD194" s="5">
        <v>0.48199999999999998</v>
      </c>
      <c r="AE194" s="6">
        <v>0.54600000000000004</v>
      </c>
      <c r="AF194" s="7">
        <f>AD194-AE194</f>
        <v>-6.4000000000000057E-2</v>
      </c>
      <c r="AG194" s="8">
        <v>41667</v>
      </c>
      <c r="AH194" s="6">
        <v>79.400000000000006</v>
      </c>
      <c r="AI194" s="1">
        <v>78.099999999999994</v>
      </c>
      <c r="AJ194" s="1">
        <f>AH194-AI194</f>
        <v>1.3000000000000114</v>
      </c>
      <c r="AK194" s="2">
        <v>42650</v>
      </c>
      <c r="AL194" s="1">
        <v>0.233190827827433</v>
      </c>
      <c r="AM194" s="1">
        <v>0.2</v>
      </c>
      <c r="AN194" s="4">
        <f>AL194-AM194</f>
        <v>3.3190827827432989E-2</v>
      </c>
      <c r="AO194" s="2">
        <v>41655</v>
      </c>
      <c r="AP194" s="5">
        <v>0.29715204000000001</v>
      </c>
      <c r="AQ194" s="1">
        <v>0.3</v>
      </c>
      <c r="AR194" s="4">
        <f>AP194-AQ194</f>
        <v>-2.8479599999999827E-3</v>
      </c>
      <c r="AS194" s="2">
        <v>41646</v>
      </c>
      <c r="AT194" s="5">
        <v>-34.252000000000002</v>
      </c>
      <c r="AU194" s="1">
        <v>-40</v>
      </c>
      <c r="AV194" s="4">
        <f>AT194-AU194</f>
        <v>5.7479999999999976</v>
      </c>
      <c r="AW194" s="9">
        <v>41656</v>
      </c>
      <c r="AX194" s="4">
        <v>0.30734018655293499</v>
      </c>
      <c r="AY194" s="6">
        <v>0.3</v>
      </c>
      <c r="AZ194" s="4">
        <f>AX194-AY194</f>
        <v>7.3401865529350019E-3</v>
      </c>
    </row>
    <row r="195" spans="1:52" s="1" customFormat="1" x14ac:dyDescent="0.2">
      <c r="A195" s="2">
        <v>41677</v>
      </c>
      <c r="B195" s="1">
        <v>113</v>
      </c>
      <c r="C195" s="1">
        <v>185</v>
      </c>
      <c r="D195" s="1">
        <f>B195-C195</f>
        <v>-72</v>
      </c>
      <c r="E195" s="2">
        <v>41677</v>
      </c>
      <c r="F195" s="1">
        <v>6.6</v>
      </c>
      <c r="G195" s="1">
        <v>6.7</v>
      </c>
      <c r="H195" s="1">
        <f>F195-G195</f>
        <v>-0.10000000000000053</v>
      </c>
      <c r="I195" s="2">
        <v>41690</v>
      </c>
      <c r="J195" s="1">
        <v>0.14734857492270781</v>
      </c>
      <c r="K195" s="1">
        <v>0.1</v>
      </c>
      <c r="L195" s="4">
        <f>J195-K195</f>
        <v>4.7348574922707803E-2</v>
      </c>
      <c r="P195" s="4"/>
      <c r="Q195" s="2">
        <v>42930</v>
      </c>
      <c r="R195" s="4">
        <v>-0.15519273630518901</v>
      </c>
      <c r="S195" s="1">
        <v>0.1</v>
      </c>
      <c r="T195" s="4">
        <f>R195-S195</f>
        <v>-0.25519273630518902</v>
      </c>
      <c r="U195" s="2">
        <v>41701</v>
      </c>
      <c r="V195" s="1" t="s">
        <v>52</v>
      </c>
      <c r="W195" s="1" t="s">
        <v>52</v>
      </c>
      <c r="X195" s="1">
        <v>1.2</v>
      </c>
      <c r="Y195" s="2">
        <v>42271</v>
      </c>
      <c r="Z195" s="5">
        <v>-2.0065433000000001</v>
      </c>
      <c r="AA195" s="1">
        <v>-2</v>
      </c>
      <c r="AB195" s="4">
        <f>Z195-AA195</f>
        <v>-6.5433000000001407E-3</v>
      </c>
      <c r="AC195" s="2">
        <v>42241</v>
      </c>
      <c r="AD195" s="5">
        <v>0.50700000000000001</v>
      </c>
      <c r="AE195" s="6">
        <v>0.51</v>
      </c>
      <c r="AF195" s="7">
        <f>AD195-AE195</f>
        <v>-3.0000000000000027E-3</v>
      </c>
      <c r="AG195" s="8">
        <v>41695</v>
      </c>
      <c r="AH195" s="6">
        <v>78.3</v>
      </c>
      <c r="AI195" s="1">
        <v>80</v>
      </c>
      <c r="AJ195" s="1">
        <f>AH195-AI195</f>
        <v>-1.7000000000000028</v>
      </c>
      <c r="AK195" s="2">
        <v>42678</v>
      </c>
      <c r="AL195" s="1">
        <v>0.38729666924864897</v>
      </c>
      <c r="AM195" s="1">
        <v>0.3</v>
      </c>
      <c r="AN195" s="4">
        <f>AL195-AM195</f>
        <v>8.7296669248648984E-2</v>
      </c>
      <c r="AO195" s="2">
        <v>41690</v>
      </c>
      <c r="AP195" s="5">
        <v>0.14450497000000001</v>
      </c>
      <c r="AQ195" s="1">
        <v>0.1</v>
      </c>
      <c r="AR195" s="4">
        <f>AP195-AQ195</f>
        <v>4.4504970000000005E-2</v>
      </c>
      <c r="AS195" s="2">
        <v>41676</v>
      </c>
      <c r="AT195" s="5">
        <v>-38.701000000000001</v>
      </c>
      <c r="AU195" s="1">
        <v>-36</v>
      </c>
      <c r="AV195" s="4">
        <f>AT195-AU195</f>
        <v>-2.7010000000000005</v>
      </c>
      <c r="AW195" s="9">
        <v>41684</v>
      </c>
      <c r="AX195" s="4">
        <v>-0.32922647071591898</v>
      </c>
      <c r="AY195" s="6">
        <v>0.3</v>
      </c>
      <c r="AZ195" s="4">
        <f>AX195-AY195</f>
        <v>-0.62922647071591897</v>
      </c>
    </row>
    <row r="196" spans="1:52" s="1" customFormat="1" x14ac:dyDescent="0.2">
      <c r="A196" s="2">
        <v>41705</v>
      </c>
      <c r="B196" s="1">
        <v>175</v>
      </c>
      <c r="C196" s="1">
        <v>149</v>
      </c>
      <c r="D196" s="1">
        <f>B196-C196</f>
        <v>26</v>
      </c>
      <c r="E196" s="2">
        <v>41705</v>
      </c>
      <c r="F196" s="1">
        <v>6.7</v>
      </c>
      <c r="G196" s="1">
        <v>6.6</v>
      </c>
      <c r="H196" s="1">
        <f>F196-G196</f>
        <v>0.10000000000000053</v>
      </c>
      <c r="I196" s="2">
        <v>41716</v>
      </c>
      <c r="J196" s="1">
        <v>0.11829903791930427</v>
      </c>
      <c r="K196" s="1">
        <v>0.1</v>
      </c>
      <c r="L196" s="4">
        <f>J196-K196</f>
        <v>1.8299037919304262E-2</v>
      </c>
      <c r="P196" s="4"/>
      <c r="Q196" s="2">
        <v>42962</v>
      </c>
      <c r="R196" s="4">
        <v>0.60166929616876896</v>
      </c>
      <c r="S196" s="1">
        <v>0.4</v>
      </c>
      <c r="T196" s="4">
        <f>R196-S196</f>
        <v>0.20166929616876894</v>
      </c>
      <c r="U196" s="2">
        <v>41730</v>
      </c>
      <c r="V196" s="1" t="s">
        <v>52</v>
      </c>
      <c r="W196" s="1" t="s">
        <v>52</v>
      </c>
      <c r="X196" s="1">
        <v>-0.3</v>
      </c>
      <c r="Y196" s="2">
        <v>42304</v>
      </c>
      <c r="Z196" s="5">
        <v>-1.2191577</v>
      </c>
      <c r="AA196" s="1">
        <v>-1.2</v>
      </c>
      <c r="AB196" s="4">
        <f>Z196-AA196</f>
        <v>-1.9157700000000055E-2</v>
      </c>
      <c r="AC196" s="2">
        <v>42271</v>
      </c>
      <c r="AD196" s="5">
        <v>0.55200000000000005</v>
      </c>
      <c r="AE196" s="6">
        <v>0.51500000000000001</v>
      </c>
      <c r="AF196" s="7">
        <f>AD196-AE196</f>
        <v>3.7000000000000033E-2</v>
      </c>
      <c r="AG196" s="8">
        <v>41723</v>
      </c>
      <c r="AH196" s="6">
        <v>83.9</v>
      </c>
      <c r="AI196" s="1">
        <v>78.599999999999994</v>
      </c>
      <c r="AJ196" s="1">
        <f>AH196-AI196</f>
        <v>5.3000000000000114</v>
      </c>
      <c r="AK196" s="2">
        <v>42706</v>
      </c>
      <c r="AL196" s="1">
        <v>-0.115740740740745</v>
      </c>
      <c r="AM196" s="1">
        <v>0.2</v>
      </c>
      <c r="AN196" s="4">
        <f>AL196-AM196</f>
        <v>-0.31574074074074499</v>
      </c>
      <c r="AO196" s="2">
        <v>41716</v>
      </c>
      <c r="AP196" s="5">
        <v>0.10045417</v>
      </c>
      <c r="AQ196" s="1">
        <v>0.1</v>
      </c>
      <c r="AR196" s="4">
        <f>AP196-AQ196</f>
        <v>4.5416999999998986E-4</v>
      </c>
      <c r="AS196" s="2">
        <v>41705</v>
      </c>
      <c r="AT196" s="5">
        <v>-39.094999999999999</v>
      </c>
      <c r="AU196" s="1">
        <v>-39</v>
      </c>
      <c r="AV196" s="4">
        <f>AT196-AU196</f>
        <v>-9.4999999999998863E-2</v>
      </c>
      <c r="AW196" s="9">
        <v>41715</v>
      </c>
      <c r="AX196" s="4">
        <v>0.62487313916819198</v>
      </c>
      <c r="AY196" s="6">
        <v>0.1</v>
      </c>
      <c r="AZ196" s="4">
        <f>AX196-AY196</f>
        <v>0.524873139168192</v>
      </c>
    </row>
    <row r="197" spans="1:52" s="1" customFormat="1" x14ac:dyDescent="0.2">
      <c r="A197" s="2">
        <v>41733</v>
      </c>
      <c r="B197" s="1">
        <v>192</v>
      </c>
      <c r="C197" s="1">
        <v>200</v>
      </c>
      <c r="D197" s="1">
        <f>B197-C197</f>
        <v>-8</v>
      </c>
      <c r="E197" s="2">
        <v>41733</v>
      </c>
      <c r="F197" s="1">
        <v>6.7</v>
      </c>
      <c r="G197" s="1">
        <v>6.6</v>
      </c>
      <c r="H197" s="1">
        <f>F197-G197</f>
        <v>0.10000000000000053</v>
      </c>
      <c r="I197" s="2">
        <v>41744</v>
      </c>
      <c r="J197" s="1">
        <v>0.20413176239401634</v>
      </c>
      <c r="K197" s="1">
        <v>0.1</v>
      </c>
      <c r="L197" s="4">
        <f>J197-K197</f>
        <v>0.10413176239401634</v>
      </c>
      <c r="P197" s="4"/>
      <c r="Q197" s="2">
        <v>42993</v>
      </c>
      <c r="R197" s="4">
        <v>-0.20784734043670999</v>
      </c>
      <c r="S197" s="1">
        <v>0.1</v>
      </c>
      <c r="T197" s="4">
        <f>R197-S197</f>
        <v>-0.30784734043671003</v>
      </c>
      <c r="U197" s="2">
        <v>41760</v>
      </c>
      <c r="V197" s="1" t="s">
        <v>52</v>
      </c>
      <c r="W197" s="1" t="s">
        <v>52</v>
      </c>
      <c r="X197" s="1">
        <v>0.6</v>
      </c>
      <c r="Y197" s="2">
        <v>42333</v>
      </c>
      <c r="Z197" s="5">
        <v>2.9855891899999998</v>
      </c>
      <c r="AA197" s="1">
        <v>1.5</v>
      </c>
      <c r="AB197" s="4">
        <f>Z197-AA197</f>
        <v>1.4855891899999998</v>
      </c>
      <c r="AC197" s="2">
        <v>42303</v>
      </c>
      <c r="AD197" s="5">
        <v>0.46800000000000003</v>
      </c>
      <c r="AE197" s="6">
        <v>0.55000000000000004</v>
      </c>
      <c r="AF197" s="7">
        <f>AD197-AE197</f>
        <v>-8.2000000000000017E-2</v>
      </c>
      <c r="AG197" s="8">
        <v>41758</v>
      </c>
      <c r="AH197" s="6">
        <v>81.7</v>
      </c>
      <c r="AI197" s="1">
        <v>83</v>
      </c>
      <c r="AJ197" s="1">
        <f>AH197-AI197</f>
        <v>-1.2999999999999972</v>
      </c>
      <c r="AK197" s="2">
        <v>42741</v>
      </c>
      <c r="AL197" s="1">
        <v>0.38610038610039099</v>
      </c>
      <c r="AM197" s="1">
        <v>0.3</v>
      </c>
      <c r="AN197" s="4">
        <f>AL197-AM197</f>
        <v>8.6100386100391002E-2</v>
      </c>
      <c r="AO197" s="2">
        <v>41744</v>
      </c>
      <c r="AP197" s="5">
        <v>0.2002815</v>
      </c>
      <c r="AQ197" s="1">
        <v>0.1</v>
      </c>
      <c r="AR197" s="4">
        <f>AP197-AQ197</f>
        <v>0.1002815</v>
      </c>
      <c r="AS197" s="2">
        <v>41732</v>
      </c>
      <c r="AT197" s="5">
        <v>-42.3</v>
      </c>
      <c r="AU197" s="1">
        <v>-38.5</v>
      </c>
      <c r="AV197" s="4">
        <f>AT197-AU197</f>
        <v>-3.7999999999999972</v>
      </c>
      <c r="AW197" s="9">
        <v>41745</v>
      </c>
      <c r="AX197" s="4">
        <v>0.73464767842941703</v>
      </c>
      <c r="AY197" s="6">
        <v>0.5</v>
      </c>
      <c r="AZ197" s="4">
        <f>AX197-AY197</f>
        <v>0.23464767842941703</v>
      </c>
    </row>
    <row r="198" spans="1:52" s="1" customFormat="1" x14ac:dyDescent="0.2">
      <c r="A198" s="2">
        <v>41761</v>
      </c>
      <c r="B198" s="1">
        <v>288</v>
      </c>
      <c r="C198" s="1">
        <v>210</v>
      </c>
      <c r="D198" s="1">
        <f>B198-C198</f>
        <v>78</v>
      </c>
      <c r="E198" s="2">
        <v>41761</v>
      </c>
      <c r="F198" s="1">
        <v>6.3</v>
      </c>
      <c r="G198" s="1">
        <v>6.6</v>
      </c>
      <c r="H198" s="1">
        <f>F198-G198</f>
        <v>-0.29999999999999982</v>
      </c>
      <c r="I198" s="2">
        <v>41774</v>
      </c>
      <c r="J198" s="1">
        <v>0.23625974201619473</v>
      </c>
      <c r="K198" s="1">
        <v>0.1</v>
      </c>
      <c r="L198" s="4">
        <f>J198-K198</f>
        <v>0.13625974201619473</v>
      </c>
      <c r="P198" s="4"/>
      <c r="Q198" s="2">
        <v>43021</v>
      </c>
      <c r="R198" s="4">
        <v>1.5564169669597101</v>
      </c>
      <c r="S198" s="1">
        <v>1.7</v>
      </c>
      <c r="T198" s="4">
        <f>R198-S198</f>
        <v>-0.14358303304028985</v>
      </c>
      <c r="U198" s="2">
        <v>41792</v>
      </c>
      <c r="V198" s="1" t="s">
        <v>52</v>
      </c>
      <c r="W198" s="1" t="s">
        <v>52</v>
      </c>
      <c r="X198" s="1">
        <v>-3.2</v>
      </c>
      <c r="Y198" s="2">
        <v>42361</v>
      </c>
      <c r="Z198" s="5">
        <v>3.142006E-2</v>
      </c>
      <c r="AA198" s="1">
        <v>-0.6</v>
      </c>
      <c r="AB198" s="4">
        <f>Z198-AA198</f>
        <v>0.63142005999999995</v>
      </c>
      <c r="AC198" s="2">
        <v>42333</v>
      </c>
      <c r="AD198" s="5">
        <v>0.495</v>
      </c>
      <c r="AE198" s="6">
        <v>0.5</v>
      </c>
      <c r="AF198" s="7">
        <f>AD198-AE198</f>
        <v>-5.0000000000000044E-3</v>
      </c>
      <c r="AG198" s="8">
        <v>41786</v>
      </c>
      <c r="AH198" s="6">
        <v>82.2</v>
      </c>
      <c r="AI198" s="1">
        <v>83</v>
      </c>
      <c r="AJ198" s="1">
        <f>AH198-AI198</f>
        <v>-0.79999999999999716</v>
      </c>
      <c r="AK198" s="2">
        <v>42769</v>
      </c>
      <c r="AL198" s="1">
        <v>0.11551790527532201</v>
      </c>
      <c r="AM198" s="1">
        <v>0.3</v>
      </c>
      <c r="AN198" s="4">
        <f>AL198-AM198</f>
        <v>-0.18448209472467797</v>
      </c>
      <c r="AO198" s="2">
        <v>41774</v>
      </c>
      <c r="AP198" s="5">
        <v>0.26056697000000001</v>
      </c>
      <c r="AQ198" s="1">
        <v>0.3</v>
      </c>
      <c r="AR198" s="4">
        <f>AP198-AQ198</f>
        <v>-3.943302999999998E-2</v>
      </c>
      <c r="AS198" s="2">
        <v>41765</v>
      </c>
      <c r="AT198" s="5">
        <v>-40.378</v>
      </c>
      <c r="AU198" s="1">
        <v>-40.299999999999997</v>
      </c>
      <c r="AV198" s="4">
        <f>AT198-AU198</f>
        <v>-7.8000000000002956E-2</v>
      </c>
      <c r="AW198" s="9">
        <v>41774</v>
      </c>
      <c r="AX198" s="4">
        <v>-0.56971592591660902</v>
      </c>
      <c r="AY198" s="6">
        <v>0</v>
      </c>
      <c r="AZ198" s="4">
        <f>AX198-AY198</f>
        <v>-0.56971592591660902</v>
      </c>
    </row>
    <row r="199" spans="1:52" s="1" customFormat="1" x14ac:dyDescent="0.2">
      <c r="A199" s="2">
        <v>41796</v>
      </c>
      <c r="B199" s="1">
        <v>217</v>
      </c>
      <c r="C199" s="1">
        <v>218</v>
      </c>
      <c r="D199" s="1">
        <f>B199-C199</f>
        <v>-1</v>
      </c>
      <c r="E199" s="2">
        <v>41796</v>
      </c>
      <c r="F199" s="1">
        <v>6.3</v>
      </c>
      <c r="G199" s="1">
        <v>6.4</v>
      </c>
      <c r="H199" s="1">
        <f>F199-G199</f>
        <v>-0.10000000000000053</v>
      </c>
      <c r="I199" s="2">
        <v>41807</v>
      </c>
      <c r="J199" s="1">
        <v>0.25847202135240299</v>
      </c>
      <c r="K199" s="1">
        <v>0.2</v>
      </c>
      <c r="L199" s="4">
        <f>J199-K199</f>
        <v>5.8472021352402981E-2</v>
      </c>
      <c r="P199" s="4"/>
      <c r="Q199" s="2">
        <v>43054</v>
      </c>
      <c r="R199" s="4">
        <v>0.23361261096083999</v>
      </c>
      <c r="S199" s="1">
        <v>0</v>
      </c>
      <c r="T199" s="4">
        <f>R199-S199</f>
        <v>0.23361261096083999</v>
      </c>
      <c r="U199" s="2">
        <v>41821</v>
      </c>
      <c r="V199" s="1" t="s">
        <v>52</v>
      </c>
      <c r="W199" s="1" t="s">
        <v>52</v>
      </c>
      <c r="X199" s="1">
        <v>-0.5</v>
      </c>
      <c r="Y199" s="2">
        <v>42397</v>
      </c>
      <c r="Z199" s="5">
        <v>-5.0638882000000001</v>
      </c>
      <c r="AA199" s="1">
        <v>-0.6</v>
      </c>
      <c r="AB199" s="4">
        <f>Z199-AA199</f>
        <v>-4.4638882000000004</v>
      </c>
      <c r="AC199" s="2">
        <v>42361</v>
      </c>
      <c r="AD199" s="5">
        <v>0.49</v>
      </c>
      <c r="AE199" s="6">
        <v>0.505</v>
      </c>
      <c r="AF199" s="7">
        <f>AD199-AE199</f>
        <v>-1.5000000000000013E-2</v>
      </c>
      <c r="AG199" s="8">
        <v>41814</v>
      </c>
      <c r="AH199" s="6">
        <v>86.4</v>
      </c>
      <c r="AI199" s="1">
        <v>83.5</v>
      </c>
      <c r="AJ199" s="1">
        <f>AH199-AI199</f>
        <v>2.9000000000000057</v>
      </c>
      <c r="AK199" s="2">
        <v>42804</v>
      </c>
      <c r="AL199" s="1">
        <v>0.23050326546292199</v>
      </c>
      <c r="AM199" s="1">
        <v>0.3</v>
      </c>
      <c r="AN199" s="4">
        <f>AL199-AM199</f>
        <v>-6.9496734537077998E-2</v>
      </c>
      <c r="AO199" s="2">
        <v>41807</v>
      </c>
      <c r="AP199" s="5">
        <v>0.35089353000000001</v>
      </c>
      <c r="AQ199" s="1">
        <v>0.2</v>
      </c>
      <c r="AR199" s="4">
        <f>AP199-AQ199</f>
        <v>0.15089353</v>
      </c>
      <c r="AS199" s="2">
        <v>41794</v>
      </c>
      <c r="AT199" s="5">
        <v>-47.235999999999997</v>
      </c>
      <c r="AU199" s="1">
        <v>-40.799999999999997</v>
      </c>
      <c r="AV199" s="4">
        <f>AT199-AU199</f>
        <v>-6.4359999999999999</v>
      </c>
      <c r="AW199" s="9">
        <v>41806</v>
      </c>
      <c r="AX199" s="4">
        <v>0.59234473998064796</v>
      </c>
      <c r="AY199" s="6">
        <v>0.5</v>
      </c>
      <c r="AZ199" s="4">
        <f>AX199-AY199</f>
        <v>9.2344739980647961E-2</v>
      </c>
    </row>
    <row r="200" spans="1:52" s="1" customFormat="1" x14ac:dyDescent="0.2">
      <c r="A200" s="2">
        <v>41823</v>
      </c>
      <c r="B200" s="1">
        <v>288</v>
      </c>
      <c r="C200" s="1">
        <v>212</v>
      </c>
      <c r="D200" s="1">
        <f>B200-C200</f>
        <v>76</v>
      </c>
      <c r="E200" s="2">
        <v>41823</v>
      </c>
      <c r="F200" s="1">
        <v>6.1</v>
      </c>
      <c r="G200" s="1">
        <v>6.3</v>
      </c>
      <c r="H200" s="1">
        <f>F200-G200</f>
        <v>-0.20000000000000018</v>
      </c>
      <c r="I200" s="2">
        <v>41842</v>
      </c>
      <c r="J200" s="1">
        <v>0.12911311486440513</v>
      </c>
      <c r="K200" s="1">
        <v>0.2</v>
      </c>
      <c r="L200" s="4">
        <f>J200-K200</f>
        <v>-7.0886885135594879E-2</v>
      </c>
      <c r="P200" s="4"/>
      <c r="Q200" s="2">
        <v>43083</v>
      </c>
      <c r="R200" s="4">
        <v>0.78835992905987895</v>
      </c>
      <c r="S200" s="1">
        <v>0.3</v>
      </c>
      <c r="T200" s="4">
        <f>R200-S200</f>
        <v>0.48835992905987896</v>
      </c>
      <c r="U200" s="2">
        <v>41852</v>
      </c>
      <c r="V200" s="1" t="s">
        <v>52</v>
      </c>
      <c r="W200" s="1" t="s">
        <v>52</v>
      </c>
      <c r="X200" s="1">
        <v>1.1000000000000001</v>
      </c>
      <c r="Y200" s="2">
        <v>42425</v>
      </c>
      <c r="Z200" s="5">
        <v>4.8878307799999998</v>
      </c>
      <c r="AA200" s="1">
        <v>2.5</v>
      </c>
      <c r="AB200" s="4">
        <f>Z200-AA200</f>
        <v>2.3878307799999998</v>
      </c>
      <c r="AC200" s="2">
        <v>42396</v>
      </c>
      <c r="AD200" s="5">
        <v>0.54400000000000004</v>
      </c>
      <c r="AE200" s="6">
        <v>0.5</v>
      </c>
      <c r="AF200" s="7">
        <f>AD200-AE200</f>
        <v>4.4000000000000039E-2</v>
      </c>
      <c r="AG200" s="8">
        <v>41849</v>
      </c>
      <c r="AH200" s="6">
        <v>90.3</v>
      </c>
      <c r="AI200" s="1">
        <v>85.3</v>
      </c>
      <c r="AJ200" s="1">
        <f>AH200-AI200</f>
        <v>5</v>
      </c>
      <c r="AK200" s="2">
        <v>42832</v>
      </c>
      <c r="AL200" s="1">
        <v>0.19164430816405001</v>
      </c>
      <c r="AM200" s="1">
        <v>0.2</v>
      </c>
      <c r="AN200" s="4">
        <f>AL200-AM200</f>
        <v>-8.3556918359500021E-3</v>
      </c>
      <c r="AO200" s="2">
        <v>41842</v>
      </c>
      <c r="AP200" s="5">
        <v>0.25729385999999999</v>
      </c>
      <c r="AQ200" s="1">
        <v>0.3</v>
      </c>
      <c r="AR200" s="4">
        <f>AP200-AQ200</f>
        <v>-4.2706140000000004E-2</v>
      </c>
      <c r="AS200" s="2">
        <v>41823</v>
      </c>
      <c r="AT200" s="5">
        <v>-44.392000000000003</v>
      </c>
      <c r="AU200" s="1">
        <v>-45</v>
      </c>
      <c r="AV200" s="4">
        <f>AT200-AU200</f>
        <v>0.60799999999999699</v>
      </c>
      <c r="AW200" s="9">
        <v>41836</v>
      </c>
      <c r="AX200" s="4">
        <v>0.219022240739287</v>
      </c>
      <c r="AY200" s="6">
        <v>0.4</v>
      </c>
      <c r="AZ200" s="4">
        <f>AX200-AY200</f>
        <v>-0.18097775926071302</v>
      </c>
    </row>
    <row r="201" spans="1:52" s="1" customFormat="1" x14ac:dyDescent="0.2">
      <c r="A201" s="2">
        <v>41852</v>
      </c>
      <c r="B201" s="1">
        <v>209</v>
      </c>
      <c r="C201" s="1">
        <v>233</v>
      </c>
      <c r="D201" s="1">
        <f>B201-C201</f>
        <v>-24</v>
      </c>
      <c r="E201" s="2">
        <v>41852</v>
      </c>
      <c r="F201" s="1">
        <v>6.2</v>
      </c>
      <c r="G201" s="1">
        <v>6.1</v>
      </c>
      <c r="H201" s="1">
        <f>F201-G201</f>
        <v>0.10000000000000053</v>
      </c>
      <c r="I201" s="2">
        <v>41870</v>
      </c>
      <c r="J201" s="1">
        <v>9.5764922317010726E-2</v>
      </c>
      <c r="K201" s="1">
        <v>0.2</v>
      </c>
      <c r="L201" s="4">
        <f>J201-K201</f>
        <v>-0.10423507768298929</v>
      </c>
      <c r="P201" s="4"/>
      <c r="Q201" s="2">
        <v>43112</v>
      </c>
      <c r="R201" s="4">
        <v>0.35207629805345098</v>
      </c>
      <c r="S201" s="1">
        <v>0.4</v>
      </c>
      <c r="T201" s="4">
        <f>R201-S201</f>
        <v>-4.7923701946549047E-2</v>
      </c>
      <c r="U201" s="2">
        <v>41884</v>
      </c>
      <c r="V201" s="1" t="s">
        <v>52</v>
      </c>
      <c r="W201" s="1" t="s">
        <v>52</v>
      </c>
      <c r="X201" s="1">
        <v>2.2000000000000002</v>
      </c>
      <c r="Y201" s="2">
        <v>42453</v>
      </c>
      <c r="Z201" s="5">
        <v>-2.7789081000000002</v>
      </c>
      <c r="AA201" s="1">
        <v>-2.9</v>
      </c>
      <c r="AB201" s="4">
        <f>Z201-AA201</f>
        <v>0.1210918999999997</v>
      </c>
      <c r="AC201" s="2">
        <v>42424</v>
      </c>
      <c r="AD201" s="5">
        <v>0.49399999999999999</v>
      </c>
      <c r="AE201" s="6">
        <v>0.52</v>
      </c>
      <c r="AF201" s="7">
        <f>AD201-AE201</f>
        <v>-2.6000000000000023E-2</v>
      </c>
      <c r="AG201" s="8">
        <v>41877</v>
      </c>
      <c r="AH201" s="6">
        <v>93.4</v>
      </c>
      <c r="AI201" s="1">
        <v>89</v>
      </c>
      <c r="AJ201" s="1">
        <f>AH201-AI201</f>
        <v>4.4000000000000057</v>
      </c>
      <c r="AK201" s="2">
        <v>42860</v>
      </c>
      <c r="AL201" s="1">
        <v>0.26799387442572797</v>
      </c>
      <c r="AM201" s="1">
        <v>0.3</v>
      </c>
      <c r="AN201" s="4">
        <f>AL201-AM201</f>
        <v>-3.2006125574272015E-2</v>
      </c>
      <c r="AO201" s="2">
        <v>41870</v>
      </c>
      <c r="AP201" s="5">
        <v>9.0873519999999999E-2</v>
      </c>
      <c r="AQ201" s="1">
        <v>0.1</v>
      </c>
      <c r="AR201" s="4">
        <f>AP201-AQ201</f>
        <v>-9.1264800000000063E-3</v>
      </c>
      <c r="AS201" s="2">
        <v>41857</v>
      </c>
      <c r="AT201" s="5">
        <v>-41.537999999999997</v>
      </c>
      <c r="AU201" s="1">
        <v>-44.7</v>
      </c>
      <c r="AV201" s="4">
        <f>AT201-AU201</f>
        <v>3.1620000000000061</v>
      </c>
      <c r="AW201" s="9">
        <v>41866</v>
      </c>
      <c r="AX201" s="4">
        <v>0.43845765280349502</v>
      </c>
      <c r="AY201" s="6">
        <v>0.3</v>
      </c>
      <c r="AZ201" s="4">
        <f>AX201-AY201</f>
        <v>0.13845765280349503</v>
      </c>
    </row>
    <row r="202" spans="1:52" s="1" customFormat="1" x14ac:dyDescent="0.2">
      <c r="A202" s="2">
        <v>41887</v>
      </c>
      <c r="B202" s="1">
        <v>142</v>
      </c>
      <c r="C202" s="1">
        <v>225</v>
      </c>
      <c r="D202" s="1">
        <f>B202-C202</f>
        <v>-83</v>
      </c>
      <c r="E202" s="2">
        <v>41887</v>
      </c>
      <c r="F202" s="1">
        <v>6.1</v>
      </c>
      <c r="G202" s="1">
        <v>6.1</v>
      </c>
      <c r="H202" s="1">
        <f>F202-G202</f>
        <v>0</v>
      </c>
      <c r="I202" s="2">
        <v>41899</v>
      </c>
      <c r="J202" s="1">
        <v>1.426707118009316E-2</v>
      </c>
      <c r="K202" s="1">
        <v>0.2</v>
      </c>
      <c r="L202" s="4">
        <f>J202-K202</f>
        <v>-0.18573292881990686</v>
      </c>
      <c r="P202" s="4"/>
      <c r="Q202" s="2">
        <v>43145</v>
      </c>
      <c r="R202" s="4">
        <v>-0.26292317048449199</v>
      </c>
      <c r="S202" s="1">
        <v>0.2</v>
      </c>
      <c r="T202" s="4">
        <f>R202-S202</f>
        <v>-0.462923170484492</v>
      </c>
      <c r="U202" s="2">
        <v>41913</v>
      </c>
      <c r="V202" s="1" t="s">
        <v>52</v>
      </c>
      <c r="W202" s="1" t="s">
        <v>52</v>
      </c>
      <c r="X202" s="1">
        <v>-1.9</v>
      </c>
      <c r="Y202" s="2">
        <v>42486</v>
      </c>
      <c r="Z202" s="5">
        <v>0.78125341000000004</v>
      </c>
      <c r="AA202" s="1">
        <v>1.8</v>
      </c>
      <c r="AB202" s="4">
        <f>Z202-AA202</f>
        <v>-1.0187465900000001</v>
      </c>
      <c r="AC202" s="2">
        <v>42452</v>
      </c>
      <c r="AD202" s="5">
        <v>0.51200000000000001</v>
      </c>
      <c r="AE202" s="6">
        <v>0.51</v>
      </c>
      <c r="AF202" s="7">
        <f>AD202-AE202</f>
        <v>2.0000000000000018E-3</v>
      </c>
      <c r="AG202" s="8">
        <v>41912</v>
      </c>
      <c r="AH202" s="6">
        <v>89</v>
      </c>
      <c r="AI202" s="1">
        <v>92.5</v>
      </c>
      <c r="AJ202" s="1">
        <f>AH202-AI202</f>
        <v>-3.5</v>
      </c>
      <c r="AK202" s="2">
        <v>42888</v>
      </c>
      <c r="AL202" s="1">
        <v>0.152788388082502</v>
      </c>
      <c r="AM202" s="1">
        <v>0.2</v>
      </c>
      <c r="AN202" s="4">
        <f>AL202-AM202</f>
        <v>-4.7211611917498009E-2</v>
      </c>
      <c r="AO202" s="2">
        <v>41899</v>
      </c>
      <c r="AP202" s="5">
        <v>-0.2021781</v>
      </c>
      <c r="AQ202" s="1">
        <v>0</v>
      </c>
      <c r="AR202" s="4">
        <f>AP202-AQ202</f>
        <v>-0.2021781</v>
      </c>
      <c r="AS202" s="2">
        <v>41886</v>
      </c>
      <c r="AT202" s="5">
        <v>-40.545999999999999</v>
      </c>
      <c r="AU202" s="1">
        <v>-42.2</v>
      </c>
      <c r="AV202" s="4">
        <f>AT202-AU202</f>
        <v>1.6540000000000035</v>
      </c>
      <c r="AW202" s="9">
        <v>41897</v>
      </c>
      <c r="AX202" s="4">
        <v>-9.8926963882540506E-2</v>
      </c>
      <c r="AY202" s="6">
        <v>0.3</v>
      </c>
      <c r="AZ202" s="4">
        <f>AX202-AY202</f>
        <v>-0.39892696388254051</v>
      </c>
    </row>
    <row r="203" spans="1:52" s="1" customFormat="1" x14ac:dyDescent="0.2">
      <c r="A203" s="2">
        <v>41915</v>
      </c>
      <c r="B203" s="1">
        <v>248</v>
      </c>
      <c r="C203" s="1">
        <v>215</v>
      </c>
      <c r="D203" s="1">
        <f>B203-C203</f>
        <v>33</v>
      </c>
      <c r="E203" s="2">
        <v>41915</v>
      </c>
      <c r="F203" s="1">
        <v>5.9</v>
      </c>
      <c r="G203" s="1">
        <v>6.1</v>
      </c>
      <c r="H203" s="1">
        <f>F203-G203</f>
        <v>-0.19999999999999929</v>
      </c>
      <c r="I203" s="2">
        <v>41934</v>
      </c>
      <c r="J203" s="1">
        <v>0.13929388071912296</v>
      </c>
      <c r="K203" s="1">
        <v>0.2</v>
      </c>
      <c r="L203" s="4">
        <f>J203-K203</f>
        <v>-6.0706119280877047E-2</v>
      </c>
      <c r="P203" s="4"/>
      <c r="Q203" s="2">
        <v>43173</v>
      </c>
      <c r="R203" s="4">
        <v>-6.8041995113162904E-2</v>
      </c>
      <c r="S203" s="1">
        <v>0.3</v>
      </c>
      <c r="T203" s="4">
        <f>R203-S203</f>
        <v>-0.36804199511316288</v>
      </c>
      <c r="U203" s="2">
        <v>41946</v>
      </c>
      <c r="V203" s="1" t="s">
        <v>52</v>
      </c>
      <c r="W203" s="1" t="s">
        <v>52</v>
      </c>
      <c r="X203" s="1">
        <v>2.8</v>
      </c>
      <c r="Y203" s="2">
        <v>42516</v>
      </c>
      <c r="Z203" s="5">
        <v>3.3559516600000001</v>
      </c>
      <c r="AA203" s="1">
        <v>0.5</v>
      </c>
      <c r="AB203" s="4">
        <f>Z203-AA203</f>
        <v>2.8559516600000001</v>
      </c>
      <c r="AC203" s="2">
        <v>42485</v>
      </c>
      <c r="AD203" s="5">
        <v>0.51100000000000001</v>
      </c>
      <c r="AE203" s="6">
        <v>0.52</v>
      </c>
      <c r="AF203" s="7">
        <f>AD203-AE203</f>
        <v>-9.000000000000008E-3</v>
      </c>
      <c r="AG203" s="8">
        <v>41940</v>
      </c>
      <c r="AH203" s="6">
        <v>94.1</v>
      </c>
      <c r="AI203" s="1">
        <v>87</v>
      </c>
      <c r="AJ203" s="1">
        <f>AH203-AI203</f>
        <v>7.0999999999999943</v>
      </c>
      <c r="AK203" s="2">
        <v>42923</v>
      </c>
      <c r="AL203" s="1">
        <v>0.15261350629530299</v>
      </c>
      <c r="AM203" s="1">
        <v>0.3</v>
      </c>
      <c r="AN203" s="4">
        <f>AL203-AM203</f>
        <v>-0.147386493704697</v>
      </c>
      <c r="AO203" s="2">
        <v>41934</v>
      </c>
      <c r="AP203" s="5">
        <v>8.6341959999999995E-2</v>
      </c>
      <c r="AQ203" s="1">
        <v>0</v>
      </c>
      <c r="AR203" s="4">
        <f>AP203-AQ203</f>
        <v>8.6341959999999995E-2</v>
      </c>
      <c r="AS203" s="2">
        <v>41915</v>
      </c>
      <c r="AT203" s="5">
        <v>-40.109000000000002</v>
      </c>
      <c r="AU203" s="1">
        <v>-40.9</v>
      </c>
      <c r="AV203" s="4">
        <f>AT203-AU203</f>
        <v>0.79099999999999682</v>
      </c>
      <c r="AW203" s="9">
        <v>41928</v>
      </c>
      <c r="AX203" s="4">
        <v>1.01337547960126</v>
      </c>
      <c r="AY203" s="6">
        <v>0.4</v>
      </c>
      <c r="AZ203" s="4">
        <f>AX203-AY203</f>
        <v>0.61337547960125993</v>
      </c>
    </row>
    <row r="204" spans="1:52" s="1" customFormat="1" x14ac:dyDescent="0.2">
      <c r="A204" s="2">
        <v>41950</v>
      </c>
      <c r="B204" s="1">
        <v>214</v>
      </c>
      <c r="C204" s="1">
        <v>231</v>
      </c>
      <c r="D204" s="1">
        <f>B204-C204</f>
        <v>-17</v>
      </c>
      <c r="E204" s="2">
        <v>41950</v>
      </c>
      <c r="F204" s="1">
        <v>5.8</v>
      </c>
      <c r="G204" s="1">
        <v>5.9</v>
      </c>
      <c r="H204" s="1">
        <f>F204-G204</f>
        <v>-0.10000000000000053</v>
      </c>
      <c r="I204" s="2">
        <v>41963</v>
      </c>
      <c r="J204" s="1">
        <v>0.20320349258622059</v>
      </c>
      <c r="K204" s="1">
        <v>0.1</v>
      </c>
      <c r="L204" s="4">
        <f>J204-K204</f>
        <v>0.10320349258622058</v>
      </c>
      <c r="P204" s="4"/>
      <c r="Q204" s="2">
        <v>43206</v>
      </c>
      <c r="R204" s="4">
        <v>0.56120944702569098</v>
      </c>
      <c r="S204" s="1">
        <v>0.4</v>
      </c>
      <c r="T204" s="4">
        <f>R204-S204</f>
        <v>0.16120944702569096</v>
      </c>
      <c r="U204" s="2">
        <v>41974</v>
      </c>
      <c r="V204" s="1" t="s">
        <v>52</v>
      </c>
      <c r="W204" s="1" t="s">
        <v>52</v>
      </c>
      <c r="X204" s="1">
        <v>0.8</v>
      </c>
      <c r="Y204" s="2">
        <v>42545</v>
      </c>
      <c r="Z204" s="5">
        <v>-2.2333253000000002</v>
      </c>
      <c r="AA204" s="1">
        <v>-0.5</v>
      </c>
      <c r="AB204" s="4">
        <f>Z204-AA204</f>
        <v>-1.7333253000000002</v>
      </c>
      <c r="AC204" s="2">
        <v>42514</v>
      </c>
      <c r="AD204" s="5">
        <v>0.61899999999999999</v>
      </c>
      <c r="AE204" s="6">
        <v>0.52300000000000002</v>
      </c>
      <c r="AF204" s="7">
        <f>AD204-AE204</f>
        <v>9.5999999999999974E-2</v>
      </c>
      <c r="AG204" s="8">
        <v>41968</v>
      </c>
      <c r="AH204" s="6">
        <v>91</v>
      </c>
      <c r="AI204" s="1">
        <v>96</v>
      </c>
      <c r="AJ204" s="1">
        <f>AH204-AI204</f>
        <v>-5</v>
      </c>
      <c r="AK204" s="2">
        <v>42951</v>
      </c>
      <c r="AL204" s="1">
        <v>0.34259611724400402</v>
      </c>
      <c r="AM204" s="1">
        <v>0.3</v>
      </c>
      <c r="AN204" s="4">
        <f>AL204-AM204</f>
        <v>4.2596117244004028E-2</v>
      </c>
      <c r="AO204" s="2">
        <v>41963</v>
      </c>
      <c r="AP204" s="5">
        <v>3.7873500000000001E-3</v>
      </c>
      <c r="AQ204" s="1">
        <v>-0.1</v>
      </c>
      <c r="AR204" s="4">
        <f>AP204-AQ204</f>
        <v>0.10378735</v>
      </c>
      <c r="AS204" s="2">
        <v>41947</v>
      </c>
      <c r="AT204" s="5">
        <v>-43.031999999999996</v>
      </c>
      <c r="AU204" s="1">
        <v>-40</v>
      </c>
      <c r="AV204" s="4">
        <f>AT204-AU204</f>
        <v>-3.0319999999999965</v>
      </c>
      <c r="AW204" s="9">
        <v>41960</v>
      </c>
      <c r="AX204" s="4">
        <v>-0.10517571203194701</v>
      </c>
      <c r="AY204" s="6">
        <v>0.2</v>
      </c>
      <c r="AZ204" s="4">
        <f>AX204-AY204</f>
        <v>-0.30517571203194704</v>
      </c>
    </row>
    <row r="205" spans="1:52" s="1" customFormat="1" x14ac:dyDescent="0.2">
      <c r="A205" s="2">
        <v>41978</v>
      </c>
      <c r="B205" s="1">
        <v>321</v>
      </c>
      <c r="C205" s="1">
        <v>230</v>
      </c>
      <c r="D205" s="1">
        <f>B205-C205</f>
        <v>91</v>
      </c>
      <c r="E205" s="2">
        <v>41978</v>
      </c>
      <c r="F205" s="1">
        <v>5.8</v>
      </c>
      <c r="G205" s="1">
        <v>5.8</v>
      </c>
      <c r="H205" s="1">
        <f>F205-G205</f>
        <v>0</v>
      </c>
      <c r="I205" s="2">
        <v>41990</v>
      </c>
      <c r="J205" s="1">
        <v>7.1081526329428379E-2</v>
      </c>
      <c r="K205" s="1">
        <v>0.1</v>
      </c>
      <c r="L205" s="4">
        <f>J205-K205</f>
        <v>-2.8918473670571626E-2</v>
      </c>
      <c r="P205" s="4"/>
      <c r="Q205" s="2">
        <v>43235</v>
      </c>
      <c r="R205" s="4">
        <v>0.29753085673163499</v>
      </c>
      <c r="S205" s="1">
        <v>0.3</v>
      </c>
      <c r="T205" s="4">
        <f>R205-S205</f>
        <v>-2.4691432683650039E-3</v>
      </c>
      <c r="U205" s="2">
        <v>42006</v>
      </c>
      <c r="V205" s="1" t="s">
        <v>52</v>
      </c>
      <c r="W205" s="1" t="s">
        <v>52</v>
      </c>
      <c r="X205" s="1">
        <v>-2.1</v>
      </c>
      <c r="Y205" s="2">
        <v>42578</v>
      </c>
      <c r="Z205" s="5">
        <v>-4.0434209000000001</v>
      </c>
      <c r="AA205" s="1">
        <v>-1.1000000000000001</v>
      </c>
      <c r="AB205" s="4">
        <f>Z205-AA205</f>
        <v>-2.9434209</v>
      </c>
      <c r="AC205" s="2">
        <v>42544</v>
      </c>
      <c r="AD205" s="5">
        <v>0.55100000000000005</v>
      </c>
      <c r="AE205" s="6">
        <v>0.56000000000000005</v>
      </c>
      <c r="AF205" s="7">
        <f>AD205-AE205</f>
        <v>-9.000000000000008E-3</v>
      </c>
      <c r="AG205" s="8">
        <v>42003</v>
      </c>
      <c r="AH205" s="6">
        <v>93.1</v>
      </c>
      <c r="AI205" s="1">
        <v>93</v>
      </c>
      <c r="AJ205" s="1">
        <f>AH205-AI205</f>
        <v>9.9999999999994316E-2</v>
      </c>
      <c r="AK205" s="2">
        <v>42979</v>
      </c>
      <c r="AL205" s="1">
        <v>0.113808801213964</v>
      </c>
      <c r="AM205" s="1">
        <v>0.2</v>
      </c>
      <c r="AN205" s="4">
        <f>AL205-AM205</f>
        <v>-8.6191198786036011E-2</v>
      </c>
      <c r="AO205" s="2">
        <v>41990</v>
      </c>
      <c r="AP205" s="5">
        <v>-0.25668859999999999</v>
      </c>
      <c r="AQ205" s="1">
        <v>-0.1</v>
      </c>
      <c r="AR205" s="4">
        <f>AP205-AQ205</f>
        <v>-0.15668859999999998</v>
      </c>
      <c r="AS205" s="2">
        <v>41978</v>
      </c>
      <c r="AT205" s="5">
        <v>-43.432000000000002</v>
      </c>
      <c r="AU205" s="1">
        <v>-41.4</v>
      </c>
      <c r="AV205" s="4">
        <f>AT205-AU205</f>
        <v>-2.0320000000000036</v>
      </c>
      <c r="AW205" s="9">
        <v>41988</v>
      </c>
      <c r="AX205" s="4">
        <v>1.259601518585</v>
      </c>
      <c r="AY205" s="6">
        <v>0.7</v>
      </c>
      <c r="AZ205" s="4">
        <f>AX205-AY205</f>
        <v>0.55960151858500007</v>
      </c>
    </row>
    <row r="206" spans="1:52" s="1" customFormat="1" x14ac:dyDescent="0.2">
      <c r="A206" s="2">
        <v>42013</v>
      </c>
      <c r="B206" s="1">
        <v>252</v>
      </c>
      <c r="C206" s="1">
        <v>240</v>
      </c>
      <c r="D206" s="1">
        <f>B206-C206</f>
        <v>12</v>
      </c>
      <c r="E206" s="2">
        <v>42013</v>
      </c>
      <c r="F206" s="1">
        <v>5.6</v>
      </c>
      <c r="G206" s="1">
        <v>5.7</v>
      </c>
      <c r="H206" s="1">
        <f>F206-G206</f>
        <v>-0.10000000000000053</v>
      </c>
      <c r="I206" s="2">
        <v>42020</v>
      </c>
      <c r="J206" s="1">
        <v>2.9248073805446004E-3</v>
      </c>
      <c r="K206" s="1">
        <v>0.1</v>
      </c>
      <c r="L206" s="4">
        <f>J206-K206</f>
        <v>-9.7075192619455408E-2</v>
      </c>
      <c r="P206" s="4"/>
      <c r="Q206" s="2">
        <v>43265</v>
      </c>
      <c r="R206" s="4">
        <v>0.82735431413351701</v>
      </c>
      <c r="S206" s="1">
        <v>0.4</v>
      </c>
      <c r="T206" s="4">
        <f>R206-S206</f>
        <v>0.42735431413351699</v>
      </c>
      <c r="U206" s="2">
        <v>42037</v>
      </c>
      <c r="V206" s="1" t="s">
        <v>52</v>
      </c>
      <c r="W206" s="1" t="s">
        <v>52</v>
      </c>
      <c r="X206" s="1">
        <v>-1</v>
      </c>
      <c r="Y206" s="2">
        <v>42607</v>
      </c>
      <c r="Z206" s="5">
        <v>4.4074785299999997</v>
      </c>
      <c r="AA206" s="1">
        <v>3.3</v>
      </c>
      <c r="AB206" s="4">
        <f>Z206-AA206</f>
        <v>1.1074785299999999</v>
      </c>
      <c r="AC206" s="2">
        <v>42577</v>
      </c>
      <c r="AD206" s="5">
        <v>0.59199999999999997</v>
      </c>
      <c r="AE206" s="6">
        <v>0.56000000000000005</v>
      </c>
      <c r="AF206" s="7">
        <f>AD206-AE206</f>
        <v>3.1999999999999917E-2</v>
      </c>
      <c r="AG206" s="8">
        <v>42031</v>
      </c>
      <c r="AH206" s="6">
        <v>103.8</v>
      </c>
      <c r="AI206" s="1">
        <v>95.1</v>
      </c>
      <c r="AJ206" s="1">
        <f>AH206-AI206</f>
        <v>8.7000000000000028</v>
      </c>
      <c r="AK206" s="2">
        <v>43014</v>
      </c>
      <c r="AL206" s="1">
        <v>0.45402951191827801</v>
      </c>
      <c r="AM206" s="1">
        <v>0.3</v>
      </c>
      <c r="AN206" s="4">
        <f>AL206-AM206</f>
        <v>0.15402951191827802</v>
      </c>
      <c r="AO206" s="2">
        <v>42020</v>
      </c>
      <c r="AP206" s="5">
        <v>-0.37252350000000001</v>
      </c>
      <c r="AQ206" s="1">
        <v>-0.4</v>
      </c>
      <c r="AR206" s="4">
        <f>AP206-AQ206</f>
        <v>2.7476500000000015E-2</v>
      </c>
      <c r="AS206" s="2">
        <v>42011</v>
      </c>
      <c r="AT206" s="5">
        <v>-39.000999999999998</v>
      </c>
      <c r="AU206" s="1">
        <v>-42</v>
      </c>
      <c r="AV206" s="4">
        <f>AT206-AU206</f>
        <v>2.9990000000000023</v>
      </c>
      <c r="AW206" s="9">
        <v>42020</v>
      </c>
      <c r="AX206" s="4">
        <v>-0.110382625380875</v>
      </c>
      <c r="AY206" s="6">
        <v>0</v>
      </c>
      <c r="AZ206" s="4">
        <f>AX206-AY206</f>
        <v>-0.110382625380875</v>
      </c>
    </row>
    <row r="207" spans="1:52" s="1" customFormat="1" x14ac:dyDescent="0.2">
      <c r="A207" s="2">
        <v>42041</v>
      </c>
      <c r="B207" s="1">
        <v>257</v>
      </c>
      <c r="C207" s="1">
        <v>234</v>
      </c>
      <c r="D207" s="1">
        <f>B207-C207</f>
        <v>23</v>
      </c>
      <c r="E207" s="2">
        <v>42041</v>
      </c>
      <c r="F207" s="1">
        <v>5.7</v>
      </c>
      <c r="G207" s="1">
        <v>5.6</v>
      </c>
      <c r="H207" s="1">
        <f>F207-G207</f>
        <v>0.10000000000000053</v>
      </c>
      <c r="I207" s="2">
        <v>42061</v>
      </c>
      <c r="J207" s="1">
        <v>0.22227885969274153</v>
      </c>
      <c r="K207" s="1">
        <v>0.1</v>
      </c>
      <c r="L207" s="4">
        <f>J207-K207</f>
        <v>0.12227885969274152</v>
      </c>
      <c r="P207" s="4"/>
      <c r="Q207" s="2">
        <v>43297</v>
      </c>
      <c r="R207" s="4">
        <v>0.485188563270809</v>
      </c>
      <c r="S207" s="1">
        <v>0.5</v>
      </c>
      <c r="T207" s="4">
        <f>R207-S207</f>
        <v>-1.4811436729190997E-2</v>
      </c>
      <c r="U207" s="2">
        <v>42065</v>
      </c>
      <c r="V207" s="1" t="s">
        <v>52</v>
      </c>
      <c r="W207" s="1" t="s">
        <v>52</v>
      </c>
      <c r="X207" s="1">
        <v>-0.1</v>
      </c>
      <c r="Y207" s="2">
        <v>42641</v>
      </c>
      <c r="Z207" s="5">
        <v>-3.7441299999999997E-2</v>
      </c>
      <c r="AA207" s="1">
        <v>-1.4</v>
      </c>
      <c r="AB207" s="4">
        <f>Z207-AA207</f>
        <v>1.3625586999999999</v>
      </c>
      <c r="AC207" s="2">
        <v>42605</v>
      </c>
      <c r="AD207" s="5">
        <v>0.65400000000000003</v>
      </c>
      <c r="AE207" s="6">
        <v>0.57999999999999996</v>
      </c>
      <c r="AF207" s="7">
        <f>AD207-AE207</f>
        <v>7.4000000000000066E-2</v>
      </c>
      <c r="AG207" s="8">
        <v>42059</v>
      </c>
      <c r="AH207" s="6">
        <v>98.8</v>
      </c>
      <c r="AI207" s="1">
        <v>99.6</v>
      </c>
      <c r="AJ207" s="1">
        <f>AH207-AI207</f>
        <v>-0.79999999999999716</v>
      </c>
      <c r="AK207" s="2">
        <v>43042</v>
      </c>
      <c r="AL207" s="1">
        <v>-3.7678975131868901E-2</v>
      </c>
      <c r="AM207" s="1">
        <v>0.2</v>
      </c>
      <c r="AN207" s="4">
        <f>AL207-AM207</f>
        <v>-0.23767897513186892</v>
      </c>
      <c r="AO207" s="2">
        <v>42061</v>
      </c>
      <c r="AP207" s="5">
        <v>-0.68011379999999999</v>
      </c>
      <c r="AQ207" s="1">
        <v>-0.6</v>
      </c>
      <c r="AR207" s="4">
        <f>AP207-AQ207</f>
        <v>-8.0113800000000013E-2</v>
      </c>
      <c r="AS207" s="2">
        <v>42040</v>
      </c>
      <c r="AT207" s="5">
        <v>-46.557000000000002</v>
      </c>
      <c r="AU207" s="1">
        <v>-38</v>
      </c>
      <c r="AV207" s="4">
        <f>AT207-AU207</f>
        <v>-8.5570000000000022</v>
      </c>
      <c r="AW207" s="9">
        <v>42053</v>
      </c>
      <c r="AX207" s="4">
        <v>0.15024262344558401</v>
      </c>
      <c r="AY207" s="6">
        <v>0.3</v>
      </c>
      <c r="AZ207" s="4">
        <f>AX207-AY207</f>
        <v>-0.14975737655441598</v>
      </c>
    </row>
    <row r="208" spans="1:52" s="1" customFormat="1" x14ac:dyDescent="0.2">
      <c r="A208" s="2">
        <v>42069</v>
      </c>
      <c r="B208" s="1">
        <v>295</v>
      </c>
      <c r="C208" s="1">
        <v>240</v>
      </c>
      <c r="D208" s="1">
        <f>B208-C208</f>
        <v>55</v>
      </c>
      <c r="E208" s="2">
        <v>42069</v>
      </c>
      <c r="F208" s="1">
        <v>5.5</v>
      </c>
      <c r="G208" s="1">
        <v>5.6</v>
      </c>
      <c r="H208" s="1">
        <f>F208-G208</f>
        <v>-9.9999999999999645E-2</v>
      </c>
      <c r="I208" s="2">
        <v>42087</v>
      </c>
      <c r="J208" s="1">
        <v>0.15675092028632254</v>
      </c>
      <c r="K208" s="1">
        <v>0.1</v>
      </c>
      <c r="L208" s="4">
        <f>J208-K208</f>
        <v>5.6750920286322531E-2</v>
      </c>
      <c r="P208" s="4"/>
      <c r="Q208" s="2">
        <v>43327</v>
      </c>
      <c r="R208" s="4">
        <v>0.51193390210477097</v>
      </c>
      <c r="S208" s="1">
        <v>0.1</v>
      </c>
      <c r="T208" s="4">
        <f>R208-S208</f>
        <v>0.41193390210477099</v>
      </c>
      <c r="U208" s="2">
        <v>42095</v>
      </c>
      <c r="V208" s="1" t="s">
        <v>52</v>
      </c>
      <c r="W208" s="1" t="s">
        <v>52</v>
      </c>
      <c r="X208" s="1">
        <v>-1</v>
      </c>
      <c r="Y208" s="2">
        <v>42670</v>
      </c>
      <c r="Z208" s="5">
        <v>-0.1226066</v>
      </c>
      <c r="AA208" s="1">
        <v>0.1</v>
      </c>
      <c r="AB208" s="4">
        <f>Z208-AA208</f>
        <v>-0.22260659999999999</v>
      </c>
      <c r="AC208" s="2">
        <v>42639</v>
      </c>
      <c r="AD208" s="5">
        <v>0.60899999999999999</v>
      </c>
      <c r="AE208" s="6">
        <v>0.6</v>
      </c>
      <c r="AF208" s="7">
        <f>AD208-AE208</f>
        <v>9.000000000000008E-3</v>
      </c>
      <c r="AG208" s="8">
        <v>42094</v>
      </c>
      <c r="AH208" s="6">
        <v>101.4</v>
      </c>
      <c r="AI208" s="1">
        <v>96</v>
      </c>
      <c r="AJ208" s="1">
        <f>AH208-AI208</f>
        <v>5.4000000000000057</v>
      </c>
      <c r="AK208" s="2">
        <v>43077</v>
      </c>
      <c r="AL208" s="1">
        <v>0.18867924528302099</v>
      </c>
      <c r="AM208" s="1">
        <v>0.3</v>
      </c>
      <c r="AN208" s="4">
        <f>AL208-AM208</f>
        <v>-0.111320754716979</v>
      </c>
      <c r="AO208" s="2">
        <v>42087</v>
      </c>
      <c r="AP208" s="5">
        <v>0.21689385999999999</v>
      </c>
      <c r="AQ208" s="1">
        <v>0.2</v>
      </c>
      <c r="AR208" s="4">
        <f>AP208-AQ208</f>
        <v>1.6893859999999983E-2</v>
      </c>
      <c r="AS208" s="2">
        <v>42069</v>
      </c>
      <c r="AT208" s="5">
        <v>-41.752000000000002</v>
      </c>
      <c r="AU208" s="1">
        <v>-41.7</v>
      </c>
      <c r="AV208" s="4">
        <f>AT208-AU208</f>
        <v>-5.1999999999999602E-2</v>
      </c>
      <c r="AW208" s="9">
        <v>42079</v>
      </c>
      <c r="AX208" s="4">
        <v>7.1694080036320801E-2</v>
      </c>
      <c r="AY208" s="6">
        <v>0.2</v>
      </c>
      <c r="AZ208" s="4">
        <f>AX208-AY208</f>
        <v>-0.12830591996367921</v>
      </c>
    </row>
    <row r="209" spans="1:52" s="1" customFormat="1" x14ac:dyDescent="0.2">
      <c r="A209" s="2">
        <v>42097</v>
      </c>
      <c r="B209" s="1">
        <v>126</v>
      </c>
      <c r="C209" s="1">
        <v>245</v>
      </c>
      <c r="D209" s="1">
        <f>B209-C209</f>
        <v>-119</v>
      </c>
      <c r="E209" s="2">
        <v>42097</v>
      </c>
      <c r="F209" s="1">
        <v>5.5</v>
      </c>
      <c r="G209" s="1">
        <v>5.5</v>
      </c>
      <c r="H209" s="1">
        <f>F209-G209</f>
        <v>0</v>
      </c>
      <c r="I209" s="2">
        <v>42111</v>
      </c>
      <c r="J209" s="1">
        <v>0.22726610529995886</v>
      </c>
      <c r="K209" s="1">
        <v>0.2</v>
      </c>
      <c r="L209" s="4">
        <f>J209-K209</f>
        <v>2.7266105299958848E-2</v>
      </c>
      <c r="P209" s="4"/>
      <c r="Q209" s="2">
        <v>43357</v>
      </c>
      <c r="R209" s="4">
        <v>8.6514545257921405E-2</v>
      </c>
      <c r="S209" s="1">
        <v>0.4</v>
      </c>
      <c r="T209" s="4">
        <f>R209-S209</f>
        <v>-0.31348545474207862</v>
      </c>
      <c r="U209" s="2">
        <v>42125</v>
      </c>
      <c r="V209" s="1" t="s">
        <v>52</v>
      </c>
      <c r="W209" s="1" t="s">
        <v>52</v>
      </c>
      <c r="X209" s="1">
        <v>-0.5</v>
      </c>
      <c r="Y209" s="2">
        <v>42697</v>
      </c>
      <c r="Z209" s="5">
        <v>4.8099237199999996</v>
      </c>
      <c r="AA209" s="1">
        <v>1.5</v>
      </c>
      <c r="AB209" s="4">
        <f>Z209-AA209</f>
        <v>3.3099237199999996</v>
      </c>
      <c r="AC209" s="2">
        <v>42669</v>
      </c>
      <c r="AD209" s="5">
        <v>0.59299999999999997</v>
      </c>
      <c r="AE209" s="6">
        <v>0.6</v>
      </c>
      <c r="AF209" s="7">
        <f>AD209-AE209</f>
        <v>-7.0000000000000062E-3</v>
      </c>
      <c r="AG209" s="8">
        <v>42122</v>
      </c>
      <c r="AH209" s="6">
        <v>94.3</v>
      </c>
      <c r="AI209" s="1">
        <v>102.5</v>
      </c>
      <c r="AJ209" s="1">
        <f>AH209-AI209</f>
        <v>-8.2000000000000028</v>
      </c>
      <c r="AK209" s="2">
        <v>43105</v>
      </c>
      <c r="AL209" s="1">
        <v>0.33911077618688701</v>
      </c>
      <c r="AM209" s="1">
        <v>0.3</v>
      </c>
      <c r="AN209" s="4">
        <f>AL209-AM209</f>
        <v>3.911077618688702E-2</v>
      </c>
      <c r="AO209" s="2">
        <v>42111</v>
      </c>
      <c r="AP209" s="5">
        <v>0.23555824</v>
      </c>
      <c r="AQ209" s="1">
        <v>0.3</v>
      </c>
      <c r="AR209" s="4">
        <f>AP209-AQ209</f>
        <v>-6.4441759999999987E-2</v>
      </c>
      <c r="AS209" s="2">
        <v>42096</v>
      </c>
      <c r="AT209" s="5">
        <v>-35.444000000000003</v>
      </c>
      <c r="AU209" s="1">
        <v>-41.2</v>
      </c>
      <c r="AV209" s="4">
        <f>AT209-AU209</f>
        <v>5.7560000000000002</v>
      </c>
      <c r="AW209" s="9">
        <v>42109</v>
      </c>
      <c r="AX209" s="4">
        <v>-0.63941782852911699</v>
      </c>
      <c r="AY209" s="6">
        <v>-0.3</v>
      </c>
      <c r="AZ209" s="4">
        <f>AX209-AY209</f>
        <v>-0.339417828529117</v>
      </c>
    </row>
    <row r="210" spans="1:52" s="1" customFormat="1" x14ac:dyDescent="0.2">
      <c r="A210" s="2">
        <v>42132</v>
      </c>
      <c r="B210" s="1">
        <v>223</v>
      </c>
      <c r="C210" s="1">
        <v>224</v>
      </c>
      <c r="D210" s="1">
        <f>B210-C210</f>
        <v>-1</v>
      </c>
      <c r="E210" s="2">
        <v>42132</v>
      </c>
      <c r="F210" s="1">
        <v>5.4</v>
      </c>
      <c r="G210" s="1">
        <v>5.4</v>
      </c>
      <c r="H210" s="1">
        <f>F210-G210</f>
        <v>0</v>
      </c>
      <c r="I210" s="2">
        <v>42146</v>
      </c>
      <c r="J210" s="1">
        <v>0.25582139015668459</v>
      </c>
      <c r="K210" s="1">
        <v>0.2</v>
      </c>
      <c r="L210" s="4">
        <f>J210-K210</f>
        <v>5.582139015668458E-2</v>
      </c>
      <c r="P210" s="4"/>
      <c r="Q210" s="2">
        <v>43388</v>
      </c>
      <c r="R210" s="4">
        <v>0.10363529814321699</v>
      </c>
      <c r="S210" s="1">
        <v>0.6</v>
      </c>
      <c r="T210" s="4">
        <f>R210-S210</f>
        <v>-0.496364701856783</v>
      </c>
      <c r="U210" s="2">
        <v>42156</v>
      </c>
      <c r="V210" s="1" t="s">
        <v>52</v>
      </c>
      <c r="W210" s="1" t="s">
        <v>52</v>
      </c>
      <c r="X210" s="1">
        <v>0.8</v>
      </c>
      <c r="Y210" s="2">
        <v>42726</v>
      </c>
      <c r="Z210" s="5">
        <v>-4.5988208999999998</v>
      </c>
      <c r="AA210" s="1">
        <v>-4.7</v>
      </c>
      <c r="AB210" s="4">
        <f>Z210-AA210</f>
        <v>0.10117910000000041</v>
      </c>
      <c r="AC210" s="2">
        <v>42697</v>
      </c>
      <c r="AD210" s="5">
        <v>0.56299999999999994</v>
      </c>
      <c r="AE210" s="6">
        <v>0.59299999999999997</v>
      </c>
      <c r="AF210" s="7">
        <f>AD210-AE210</f>
        <v>-3.0000000000000027E-2</v>
      </c>
      <c r="AG210" s="8">
        <v>42150</v>
      </c>
      <c r="AH210" s="6">
        <v>94.6</v>
      </c>
      <c r="AI210" s="1">
        <v>94.9</v>
      </c>
      <c r="AJ210" s="1">
        <f>AH210-AI210</f>
        <v>-0.30000000000001137</v>
      </c>
      <c r="AK210" s="2">
        <v>43133</v>
      </c>
      <c r="AL210" s="1">
        <v>0.33771106941838502</v>
      </c>
      <c r="AM210" s="1">
        <v>0.3</v>
      </c>
      <c r="AN210" s="4">
        <f>AL210-AM210</f>
        <v>3.7711069418385035E-2</v>
      </c>
      <c r="AO210" s="2">
        <v>42146</v>
      </c>
      <c r="AP210" s="5">
        <v>0.10265547</v>
      </c>
      <c r="AQ210" s="1">
        <v>0.1</v>
      </c>
      <c r="AR210" s="4">
        <f>AP210-AQ210</f>
        <v>2.6554699999999931E-3</v>
      </c>
      <c r="AS210" s="2">
        <v>42129</v>
      </c>
      <c r="AT210" s="5">
        <v>-51.366999999999997</v>
      </c>
      <c r="AU210" s="1">
        <v>-41.2</v>
      </c>
      <c r="AV210" s="4">
        <f>AT210-AU210</f>
        <v>-10.166999999999994</v>
      </c>
      <c r="AW210" s="9">
        <v>42139</v>
      </c>
      <c r="AX210" s="4">
        <v>-0.26200773980155601</v>
      </c>
      <c r="AY210" s="6">
        <v>0.1</v>
      </c>
      <c r="AZ210" s="4">
        <f>AX210-AY210</f>
        <v>-0.36200773980155598</v>
      </c>
    </row>
    <row r="211" spans="1:52" s="1" customFormat="1" x14ac:dyDescent="0.2">
      <c r="A211" s="2">
        <v>42160</v>
      </c>
      <c r="B211" s="1">
        <v>280</v>
      </c>
      <c r="C211" s="1">
        <v>225</v>
      </c>
      <c r="D211" s="1">
        <f>B211-C211</f>
        <v>55</v>
      </c>
      <c r="E211" s="2">
        <v>42160</v>
      </c>
      <c r="F211" s="1">
        <v>5.5</v>
      </c>
      <c r="G211" s="1">
        <v>5.4</v>
      </c>
      <c r="H211" s="1">
        <f>F211-G211</f>
        <v>9.9999999999999645E-2</v>
      </c>
      <c r="I211" s="2">
        <v>42173</v>
      </c>
      <c r="J211" s="1">
        <v>0.14539640195684467</v>
      </c>
      <c r="K211" s="1">
        <v>0.2</v>
      </c>
      <c r="L211" s="4">
        <f>J211-K211</f>
        <v>-5.4603598043155344E-2</v>
      </c>
      <c r="P211" s="4"/>
      <c r="Q211" s="2">
        <v>43419</v>
      </c>
      <c r="R211" s="4">
        <v>0.76476637391992996</v>
      </c>
      <c r="S211" s="1">
        <v>0.5</v>
      </c>
      <c r="T211" s="4">
        <f>R211-S211</f>
        <v>0.26476637391992996</v>
      </c>
      <c r="U211" s="2">
        <v>42186</v>
      </c>
      <c r="V211" s="1" t="s">
        <v>52</v>
      </c>
      <c r="W211" s="1" t="s">
        <v>52</v>
      </c>
      <c r="X211" s="1">
        <v>0.4</v>
      </c>
      <c r="Y211" s="2">
        <v>42762</v>
      </c>
      <c r="Z211" s="5">
        <v>-0.42502420000000002</v>
      </c>
      <c r="AA211" s="1">
        <v>2.6</v>
      </c>
      <c r="AB211" s="4">
        <f>Z211-AA211</f>
        <v>-3.0250242000000003</v>
      </c>
      <c r="AC211" s="2">
        <v>42727</v>
      </c>
      <c r="AD211" s="5">
        <v>0.59199999999999997</v>
      </c>
      <c r="AE211" s="6">
        <v>0.57499999999999996</v>
      </c>
      <c r="AF211" s="7">
        <f>AD211-AE211</f>
        <v>1.7000000000000015E-2</v>
      </c>
      <c r="AG211" s="8">
        <v>42185</v>
      </c>
      <c r="AH211" s="6">
        <v>99.8</v>
      </c>
      <c r="AI211" s="1">
        <v>97.3</v>
      </c>
      <c r="AJ211" s="1">
        <f>AH211-AI211</f>
        <v>2.5</v>
      </c>
      <c r="AK211" s="2">
        <v>43168</v>
      </c>
      <c r="AL211" s="1">
        <v>0.14975664545113801</v>
      </c>
      <c r="AM211" s="1">
        <v>0.2</v>
      </c>
      <c r="AN211" s="4">
        <f>AL211-AM211</f>
        <v>-5.0243354548862001E-2</v>
      </c>
      <c r="AO211" s="2">
        <v>42173</v>
      </c>
      <c r="AP211" s="5">
        <v>0.44452543</v>
      </c>
      <c r="AQ211" s="1">
        <v>0.5</v>
      </c>
      <c r="AR211" s="4">
        <f>AP211-AQ211</f>
        <v>-5.5474570000000001E-2</v>
      </c>
      <c r="AS211" s="2">
        <v>42158</v>
      </c>
      <c r="AT211" s="5">
        <v>-40.878999999999998</v>
      </c>
      <c r="AU211" s="1">
        <v>-44</v>
      </c>
      <c r="AV211" s="4">
        <f>AT211-AU211</f>
        <v>3.1210000000000022</v>
      </c>
      <c r="AW211" s="9">
        <v>42170</v>
      </c>
      <c r="AX211" s="4">
        <v>-0.17390907907971201</v>
      </c>
      <c r="AY211" s="6">
        <v>0.2</v>
      </c>
      <c r="AZ211" s="4">
        <f>AX211-AY211</f>
        <v>-0.37390907907971205</v>
      </c>
    </row>
    <row r="212" spans="1:52" s="1" customFormat="1" x14ac:dyDescent="0.2">
      <c r="A212" s="2">
        <v>42187</v>
      </c>
      <c r="B212" s="1">
        <v>223</v>
      </c>
      <c r="C212" s="1">
        <v>230</v>
      </c>
      <c r="D212" s="1">
        <f>B212-C212</f>
        <v>-7</v>
      </c>
      <c r="E212" s="2">
        <v>42187</v>
      </c>
      <c r="F212" s="1">
        <v>5.3</v>
      </c>
      <c r="G212" s="1">
        <v>5.4</v>
      </c>
      <c r="H212" s="1">
        <f>F212-G212</f>
        <v>-0.10000000000000053</v>
      </c>
      <c r="I212" s="2">
        <v>42202</v>
      </c>
      <c r="J212" s="1">
        <v>0.17910324288551502</v>
      </c>
      <c r="K212" s="1">
        <v>0.2</v>
      </c>
      <c r="L212" s="4">
        <f>J212-K212</f>
        <v>-2.0896757114484993E-2</v>
      </c>
      <c r="P212" s="4"/>
      <c r="Q212" s="2">
        <v>43448</v>
      </c>
      <c r="R212" s="4">
        <v>0.22933272958645901</v>
      </c>
      <c r="S212" s="1">
        <v>0.2</v>
      </c>
      <c r="T212" s="4">
        <f>R212-S212</f>
        <v>2.9332729586458994E-2</v>
      </c>
      <c r="U212" s="2">
        <v>42219</v>
      </c>
      <c r="V212" s="1" t="s">
        <v>52</v>
      </c>
      <c r="W212" s="1" t="s">
        <v>52</v>
      </c>
      <c r="X212" s="1">
        <v>-0.8</v>
      </c>
      <c r="Y212" s="2">
        <v>42793</v>
      </c>
      <c r="Z212" s="5">
        <v>1.7833314199999999</v>
      </c>
      <c r="AA212" s="1">
        <v>1.8</v>
      </c>
      <c r="AB212" s="4">
        <f>Z212-AA212</f>
        <v>-1.6668580000000155E-2</v>
      </c>
      <c r="AC212" s="2">
        <v>42761</v>
      </c>
      <c r="AD212" s="5">
        <v>0.53600000000000003</v>
      </c>
      <c r="AE212" s="6">
        <v>0.58799999999999997</v>
      </c>
      <c r="AF212" s="7">
        <f>AD212-AE212</f>
        <v>-5.1999999999999935E-2</v>
      </c>
      <c r="AG212" s="8">
        <v>42213</v>
      </c>
      <c r="AH212" s="6">
        <v>91</v>
      </c>
      <c r="AI212" s="1">
        <v>100</v>
      </c>
      <c r="AJ212" s="1">
        <f>AH212-AI212</f>
        <v>-9</v>
      </c>
      <c r="AK212" s="2">
        <v>43196</v>
      </c>
      <c r="AL212" s="1">
        <v>0.29917726252805399</v>
      </c>
      <c r="AM212" s="1">
        <v>0.2</v>
      </c>
      <c r="AN212" s="4">
        <f>AL212-AM212</f>
        <v>9.9177262528053978E-2</v>
      </c>
      <c r="AO212" s="2">
        <v>42202</v>
      </c>
      <c r="AP212" s="5">
        <v>0.31852374</v>
      </c>
      <c r="AQ212" s="1">
        <v>0.3</v>
      </c>
      <c r="AR212" s="4">
        <f>AP212-AQ212</f>
        <v>1.8523740000000011E-2</v>
      </c>
      <c r="AS212" s="2">
        <v>42192</v>
      </c>
      <c r="AT212" s="5">
        <v>-41.871000000000002</v>
      </c>
      <c r="AU212" s="1">
        <v>-42.6</v>
      </c>
      <c r="AV212" s="4">
        <f>AT212-AU212</f>
        <v>0.7289999999999992</v>
      </c>
      <c r="AW212" s="9">
        <v>42200</v>
      </c>
      <c r="AX212" s="4">
        <v>0.32915811263699601</v>
      </c>
      <c r="AY212" s="6">
        <v>0.2</v>
      </c>
      <c r="AZ212" s="4">
        <f>AX212-AY212</f>
        <v>0.129158112636996</v>
      </c>
    </row>
    <row r="213" spans="1:52" s="1" customFormat="1" x14ac:dyDescent="0.2">
      <c r="A213" s="2">
        <v>42223</v>
      </c>
      <c r="B213" s="1">
        <v>215</v>
      </c>
      <c r="C213" s="1">
        <v>223</v>
      </c>
      <c r="D213" s="1">
        <f>B213-C213</f>
        <v>-8</v>
      </c>
      <c r="E213" s="2">
        <v>42223</v>
      </c>
      <c r="F213" s="1">
        <v>5.3</v>
      </c>
      <c r="G213" s="1">
        <v>5.3</v>
      </c>
      <c r="H213" s="1">
        <f>F213-G213</f>
        <v>0</v>
      </c>
      <c r="I213" s="2">
        <v>42235</v>
      </c>
      <c r="J213" s="1">
        <v>0.13212603171850265</v>
      </c>
      <c r="K213" s="1">
        <v>0.2</v>
      </c>
      <c r="L213" s="4">
        <f>J213-K213</f>
        <v>-6.787396828149736E-2</v>
      </c>
      <c r="P213" s="4"/>
      <c r="Q213" s="2">
        <v>43510</v>
      </c>
      <c r="R213" s="4">
        <v>-1.2444357672784001</v>
      </c>
      <c r="S213" s="1">
        <v>0.2</v>
      </c>
      <c r="T213" s="4">
        <f>R213-S213</f>
        <v>-1.4444357672784001</v>
      </c>
      <c r="U213" s="2">
        <v>42248</v>
      </c>
      <c r="V213" s="1" t="s">
        <v>52</v>
      </c>
      <c r="W213" s="1" t="s">
        <v>52</v>
      </c>
      <c r="X213" s="1">
        <v>-1.5</v>
      </c>
      <c r="Y213" s="2">
        <v>42818</v>
      </c>
      <c r="Z213" s="5">
        <v>1.6676384799999999</v>
      </c>
      <c r="AA213" s="1">
        <v>1.2</v>
      </c>
      <c r="AB213" s="4">
        <f>Z213-AA213</f>
        <v>0.46763847999999997</v>
      </c>
      <c r="AC213" s="2">
        <v>42790</v>
      </c>
      <c r="AD213" s="5">
        <v>0.55500000000000005</v>
      </c>
      <c r="AE213" s="6">
        <v>0.56999999999999995</v>
      </c>
      <c r="AF213" s="7">
        <f>AD213-AE213</f>
        <v>-1.4999999999999902E-2</v>
      </c>
      <c r="AG213" s="8">
        <v>42241</v>
      </c>
      <c r="AH213" s="6">
        <v>101.3</v>
      </c>
      <c r="AI213" s="1">
        <v>93.4</v>
      </c>
      <c r="AJ213" s="1">
        <f>AH213-AI213</f>
        <v>7.8999999999999915</v>
      </c>
      <c r="AK213" s="2">
        <v>43224</v>
      </c>
      <c r="AL213" s="1">
        <v>0.14925373134327999</v>
      </c>
      <c r="AM213" s="1">
        <v>0.2</v>
      </c>
      <c r="AN213" s="4">
        <f>AL213-AM213</f>
        <v>-5.0746268656720023E-2</v>
      </c>
      <c r="AO213" s="2">
        <v>42235</v>
      </c>
      <c r="AP213" s="5">
        <v>0.13163095999999999</v>
      </c>
      <c r="AQ213" s="1">
        <v>0.2</v>
      </c>
      <c r="AR213" s="4">
        <f>AP213-AQ213</f>
        <v>-6.836904000000002E-2</v>
      </c>
      <c r="AS213" s="2">
        <v>42221</v>
      </c>
      <c r="AT213" s="5">
        <v>-43.838999999999999</v>
      </c>
      <c r="AU213" s="1">
        <v>-42.8</v>
      </c>
      <c r="AV213" s="4">
        <f>AT213-AU213</f>
        <v>-1.0390000000000015</v>
      </c>
      <c r="AW213" s="9">
        <v>42230</v>
      </c>
      <c r="AX213" s="4">
        <v>0.55640643960693503</v>
      </c>
      <c r="AY213" s="6">
        <v>0.3</v>
      </c>
      <c r="AZ213" s="4">
        <f>AX213-AY213</f>
        <v>0.25640643960693504</v>
      </c>
    </row>
    <row r="214" spans="1:52" s="1" customFormat="1" x14ac:dyDescent="0.2">
      <c r="A214" s="2">
        <v>42251</v>
      </c>
      <c r="B214" s="1">
        <v>173</v>
      </c>
      <c r="C214" s="1">
        <v>220</v>
      </c>
      <c r="D214" s="1">
        <f>B214-C214</f>
        <v>-47</v>
      </c>
      <c r="E214" s="2">
        <v>42251</v>
      </c>
      <c r="F214" s="1">
        <v>5.0999999999999996</v>
      </c>
      <c r="G214" s="1">
        <v>5.2</v>
      </c>
      <c r="H214" s="1">
        <f>F214-G214</f>
        <v>-0.10000000000000053</v>
      </c>
      <c r="I214" s="2">
        <v>42263</v>
      </c>
      <c r="J214" s="1">
        <v>7.4222825168138135E-2</v>
      </c>
      <c r="K214" s="1">
        <v>0.1</v>
      </c>
      <c r="L214" s="4">
        <f>J214-K214</f>
        <v>-2.5777174831861871E-2</v>
      </c>
      <c r="P214" s="4"/>
      <c r="Q214" s="2">
        <v>43535</v>
      </c>
      <c r="R214" s="4">
        <v>0.21057650284079599</v>
      </c>
      <c r="S214" s="1">
        <v>0</v>
      </c>
      <c r="T214" s="4">
        <f>R214-S214</f>
        <v>0.21057650284079599</v>
      </c>
      <c r="U214" s="2">
        <v>42278</v>
      </c>
      <c r="V214" s="1" t="s">
        <v>52</v>
      </c>
      <c r="W214" s="1" t="s">
        <v>52</v>
      </c>
      <c r="X214" s="1">
        <v>-0.4</v>
      </c>
      <c r="Y214" s="2">
        <v>42852</v>
      </c>
      <c r="Z214" s="5">
        <v>0.68667356000000002</v>
      </c>
      <c r="AA214" s="1">
        <v>1.2</v>
      </c>
      <c r="AB214" s="4">
        <f>Z214-AA214</f>
        <v>-0.51332643999999994</v>
      </c>
      <c r="AC214" s="2">
        <v>42817</v>
      </c>
      <c r="AD214" s="5">
        <v>0.59199999999999997</v>
      </c>
      <c r="AE214" s="6">
        <v>0.56499999999999995</v>
      </c>
      <c r="AF214" s="7">
        <f>AD214-AE214</f>
        <v>2.7000000000000024E-2</v>
      </c>
      <c r="AG214" s="8">
        <v>42276</v>
      </c>
      <c r="AH214" s="6">
        <v>102.6</v>
      </c>
      <c r="AI214" s="1">
        <v>96.1</v>
      </c>
      <c r="AJ214" s="1">
        <f>AH214-AI214</f>
        <v>6.5</v>
      </c>
      <c r="AK214" s="2">
        <v>43252</v>
      </c>
      <c r="AL214" s="1">
        <v>0.29806259314456701</v>
      </c>
      <c r="AM214" s="1">
        <v>0.2</v>
      </c>
      <c r="AN214" s="4">
        <f>AL214-AM214</f>
        <v>9.8062593144567001E-2</v>
      </c>
      <c r="AO214" s="2">
        <v>42263</v>
      </c>
      <c r="AP214" s="5">
        <v>-7.0558899999999994E-2</v>
      </c>
      <c r="AQ214" s="1">
        <v>0</v>
      </c>
      <c r="AR214" s="4">
        <f>AP214-AQ214</f>
        <v>-7.0558899999999994E-2</v>
      </c>
      <c r="AS214" s="2">
        <v>42250</v>
      </c>
      <c r="AT214" s="5">
        <v>-41.863</v>
      </c>
      <c r="AU214" s="1">
        <v>-42.4</v>
      </c>
      <c r="AV214" s="4">
        <f>AT214-AU214</f>
        <v>0.53699999999999903</v>
      </c>
      <c r="AW214" s="9">
        <v>42262</v>
      </c>
      <c r="AX214" s="4">
        <v>-0.37893095511439701</v>
      </c>
      <c r="AY214" s="6">
        <v>-0.2</v>
      </c>
      <c r="AZ214" s="4">
        <f>AX214-AY214</f>
        <v>-0.17893095511439699</v>
      </c>
    </row>
    <row r="215" spans="1:52" s="1" customFormat="1" x14ac:dyDescent="0.2">
      <c r="A215" s="2">
        <v>42279</v>
      </c>
      <c r="B215" s="1">
        <v>142</v>
      </c>
      <c r="C215" s="1">
        <v>203</v>
      </c>
      <c r="D215" s="1">
        <f>B215-C215</f>
        <v>-61</v>
      </c>
      <c r="E215" s="2">
        <v>42279</v>
      </c>
      <c r="F215" s="1">
        <v>5.0999999999999996</v>
      </c>
      <c r="G215" s="1">
        <v>5.0999999999999996</v>
      </c>
      <c r="H215" s="1">
        <f>F215-G215</f>
        <v>0</v>
      </c>
      <c r="I215" s="2">
        <v>42292</v>
      </c>
      <c r="J215" s="1">
        <v>0.21137816088637773</v>
      </c>
      <c r="K215" s="1">
        <v>0.1</v>
      </c>
      <c r="L215" s="4">
        <f>J215-K215</f>
        <v>0.11137816088637773</v>
      </c>
      <c r="P215" s="4"/>
      <c r="Q215" s="2">
        <v>43556</v>
      </c>
      <c r="R215" s="4">
        <v>-0.19882558774855599</v>
      </c>
      <c r="S215" s="1">
        <v>0.3</v>
      </c>
      <c r="T215" s="4">
        <f>R215-S215</f>
        <v>-0.49882558774855601</v>
      </c>
      <c r="U215" s="2">
        <v>42310</v>
      </c>
      <c r="V215" s="1" t="s">
        <v>52</v>
      </c>
      <c r="W215" s="1" t="s">
        <v>52</v>
      </c>
      <c r="X215" s="1">
        <v>0.1</v>
      </c>
      <c r="Y215" s="2">
        <v>42881</v>
      </c>
      <c r="Z215" s="5">
        <v>-0.67329799999999995</v>
      </c>
      <c r="AA215" s="1">
        <v>-1.2</v>
      </c>
      <c r="AB215" s="4">
        <f>Z215-AA215</f>
        <v>0.526702</v>
      </c>
      <c r="AC215" s="2">
        <v>42850</v>
      </c>
      <c r="AD215" s="5">
        <v>0.621</v>
      </c>
      <c r="AE215" s="6">
        <v>0.58299999999999996</v>
      </c>
      <c r="AF215" s="7">
        <f>AD215-AE215</f>
        <v>3.8000000000000034E-2</v>
      </c>
      <c r="AG215" s="8">
        <v>42304</v>
      </c>
      <c r="AH215" s="6">
        <v>99.1</v>
      </c>
      <c r="AI215" s="1">
        <v>103</v>
      </c>
      <c r="AJ215" s="1">
        <f>AH215-AI215</f>
        <v>-3.9000000000000057</v>
      </c>
      <c r="AK215" s="2">
        <v>43287</v>
      </c>
      <c r="AL215" s="1">
        <v>0.185666542888974</v>
      </c>
      <c r="AM215" s="1">
        <v>0.3</v>
      </c>
      <c r="AN215" s="4">
        <f>AL215-AM215</f>
        <v>-0.11433345711102599</v>
      </c>
      <c r="AO215" s="2">
        <v>42292</v>
      </c>
      <c r="AP215" s="5">
        <v>-0.15340580000000001</v>
      </c>
      <c r="AQ215" s="1">
        <v>-0.2</v>
      </c>
      <c r="AR215" s="4">
        <f>AP215-AQ215</f>
        <v>4.6594200000000002E-2</v>
      </c>
      <c r="AS215" s="2">
        <v>42283</v>
      </c>
      <c r="AT215" s="5">
        <v>-48.33</v>
      </c>
      <c r="AU215" s="1">
        <v>-47.4</v>
      </c>
      <c r="AV215" s="4">
        <f>AT215-AU215</f>
        <v>-0.92999999999999972</v>
      </c>
      <c r="AW215" s="9">
        <v>42293</v>
      </c>
      <c r="AX215" s="4">
        <v>-0.18529133520674301</v>
      </c>
      <c r="AY215" s="6">
        <v>-0.2</v>
      </c>
      <c r="AZ215" s="4">
        <f>AX215-AY215</f>
        <v>1.4708664793256998E-2</v>
      </c>
    </row>
    <row r="216" spans="1:52" s="1" customFormat="1" x14ac:dyDescent="0.2">
      <c r="A216" s="2">
        <v>42314</v>
      </c>
      <c r="B216" s="1">
        <v>271</v>
      </c>
      <c r="C216" s="1">
        <v>180</v>
      </c>
      <c r="D216" s="1">
        <f>B216-C216</f>
        <v>91</v>
      </c>
      <c r="E216" s="2">
        <v>42314</v>
      </c>
      <c r="F216" s="1">
        <v>5</v>
      </c>
      <c r="G216" s="1">
        <v>5.0999999999999996</v>
      </c>
      <c r="H216" s="1">
        <f>F216-G216</f>
        <v>-9.9999999999999645E-2</v>
      </c>
      <c r="I216" s="2">
        <v>42325</v>
      </c>
      <c r="J216" s="1">
        <v>0.20229764068321449</v>
      </c>
      <c r="K216" s="1">
        <v>0.2</v>
      </c>
      <c r="L216" s="4">
        <f>J216-K216</f>
        <v>2.2976406832144747E-3</v>
      </c>
      <c r="P216" s="4"/>
      <c r="Q216" s="2">
        <v>43573</v>
      </c>
      <c r="R216" s="4">
        <v>1.56839035493278</v>
      </c>
      <c r="S216" s="1">
        <v>0.9</v>
      </c>
      <c r="T216" s="4">
        <f>R216-S216</f>
        <v>0.66839035493277998</v>
      </c>
      <c r="U216" s="2">
        <v>42339</v>
      </c>
      <c r="V216" s="1" t="s">
        <v>52</v>
      </c>
      <c r="W216" s="1" t="s">
        <v>52</v>
      </c>
      <c r="X216" s="1">
        <v>-1.9</v>
      </c>
      <c r="Y216" s="2">
        <v>42912</v>
      </c>
      <c r="Z216" s="5">
        <v>-1.0833235999999999</v>
      </c>
      <c r="AA216" s="1">
        <v>-0.6</v>
      </c>
      <c r="AB216" s="4">
        <f>Z216-AA216</f>
        <v>-0.48332359999999996</v>
      </c>
      <c r="AC216" s="2">
        <v>42878</v>
      </c>
      <c r="AD216" s="5">
        <v>0.56899999999999995</v>
      </c>
      <c r="AE216" s="6">
        <v>0.61</v>
      </c>
      <c r="AF216" s="7">
        <f>AD216-AE216</f>
        <v>-4.1000000000000036E-2</v>
      </c>
      <c r="AG216" s="8">
        <v>42332</v>
      </c>
      <c r="AH216" s="6">
        <v>92.6</v>
      </c>
      <c r="AI216" s="1">
        <v>99.5</v>
      </c>
      <c r="AJ216" s="1">
        <f>AH216-AI216</f>
        <v>-6.9000000000000057</v>
      </c>
      <c r="AK216" s="2">
        <v>43315</v>
      </c>
      <c r="AL216" s="1">
        <v>0.259451445515197</v>
      </c>
      <c r="AM216" s="1">
        <v>0.3</v>
      </c>
      <c r="AN216" s="4">
        <f>AL216-AM216</f>
        <v>-4.054855448480299E-2</v>
      </c>
      <c r="AO216" s="2">
        <v>42325</v>
      </c>
      <c r="AP216" s="5">
        <v>0.20036536999999999</v>
      </c>
      <c r="AQ216" s="1">
        <v>0.2</v>
      </c>
      <c r="AR216" s="4">
        <f>AP216-AQ216</f>
        <v>3.6536999999997599E-4</v>
      </c>
      <c r="AS216" s="2">
        <v>42312</v>
      </c>
      <c r="AT216" s="5">
        <v>-40.811999999999998</v>
      </c>
      <c r="AU216" s="1">
        <v>-41.1</v>
      </c>
      <c r="AV216" s="4">
        <f>AT216-AU216</f>
        <v>0.28800000000000381</v>
      </c>
      <c r="AW216" s="9">
        <v>42325</v>
      </c>
      <c r="AX216" s="4">
        <v>-0.15375674955809601</v>
      </c>
      <c r="AY216" s="6">
        <v>0.1</v>
      </c>
      <c r="AZ216" s="4">
        <f>AX216-AY216</f>
        <v>-0.25375674955809602</v>
      </c>
    </row>
    <row r="217" spans="1:52" s="1" customFormat="1" x14ac:dyDescent="0.2">
      <c r="A217" s="2">
        <v>42342</v>
      </c>
      <c r="B217" s="1">
        <v>211</v>
      </c>
      <c r="C217" s="1">
        <v>200</v>
      </c>
      <c r="D217" s="1">
        <f>B217-C217</f>
        <v>11</v>
      </c>
      <c r="E217" s="2">
        <v>42342</v>
      </c>
      <c r="F217" s="1">
        <v>5</v>
      </c>
      <c r="G217" s="1">
        <v>5</v>
      </c>
      <c r="H217" s="1">
        <f>F217-G217</f>
        <v>0</v>
      </c>
      <c r="I217" s="2">
        <v>42353</v>
      </c>
      <c r="J217" s="1">
        <v>0.17932030628071768</v>
      </c>
      <c r="K217" s="1">
        <v>0.2</v>
      </c>
      <c r="L217" s="4">
        <f>J217-K217</f>
        <v>-2.0679693719282327E-2</v>
      </c>
      <c r="P217" s="4"/>
      <c r="Q217" s="2">
        <v>43600</v>
      </c>
      <c r="R217" s="4">
        <v>-0.18917852191884901</v>
      </c>
      <c r="S217" s="1">
        <v>0.2</v>
      </c>
      <c r="T217" s="4">
        <f>R217-S217</f>
        <v>-0.38917852191884905</v>
      </c>
      <c r="U217" s="2">
        <v>42373</v>
      </c>
      <c r="V217" s="1" t="s">
        <v>52</v>
      </c>
      <c r="W217" s="1" t="s">
        <v>52</v>
      </c>
      <c r="X217" s="1">
        <v>-0.8</v>
      </c>
      <c r="Y217" s="2">
        <v>42943</v>
      </c>
      <c r="Z217" s="5">
        <v>6.4521163100000001</v>
      </c>
      <c r="AA217" s="1">
        <v>3</v>
      </c>
      <c r="AB217" s="4">
        <f>Z217-AA217</f>
        <v>3.4521163100000001</v>
      </c>
      <c r="AC217" s="2">
        <v>42909</v>
      </c>
      <c r="AD217" s="5">
        <v>0.61</v>
      </c>
      <c r="AE217" s="6">
        <v>0.59699999999999998</v>
      </c>
      <c r="AF217" s="7">
        <f>AD217-AE217</f>
        <v>1.3000000000000012E-2</v>
      </c>
      <c r="AG217" s="8">
        <v>42367</v>
      </c>
      <c r="AH217" s="6">
        <v>96.3</v>
      </c>
      <c r="AI217" s="1">
        <v>93.8</v>
      </c>
      <c r="AJ217" s="1">
        <f>AH217-AI217</f>
        <v>2.5</v>
      </c>
      <c r="AK217" s="2">
        <v>43350</v>
      </c>
      <c r="AL217" s="1">
        <v>0.36954915003695998</v>
      </c>
      <c r="AM217" s="1">
        <v>0.2</v>
      </c>
      <c r="AN217" s="4">
        <f>AL217-AM217</f>
        <v>0.16954915003695997</v>
      </c>
      <c r="AO217" s="2">
        <v>42353</v>
      </c>
      <c r="AP217" s="5">
        <v>2.8986479999999998E-2</v>
      </c>
      <c r="AQ217" s="1">
        <v>0</v>
      </c>
      <c r="AR217" s="4">
        <f>AP217-AQ217</f>
        <v>2.8986479999999998E-2</v>
      </c>
      <c r="AS217" s="2">
        <v>42342</v>
      </c>
      <c r="AT217" s="5">
        <v>-43.890999999999998</v>
      </c>
      <c r="AU217" s="1">
        <v>-40.5</v>
      </c>
      <c r="AV217" s="4">
        <f>AT217-AU217</f>
        <v>-3.3909999999999982</v>
      </c>
      <c r="AW217" s="9">
        <v>42354</v>
      </c>
      <c r="AX217" s="4">
        <v>-0.56385222796766998</v>
      </c>
      <c r="AY217" s="6">
        <v>-0.1</v>
      </c>
      <c r="AZ217" s="4">
        <f>AX217-AY217</f>
        <v>-0.46385222796767001</v>
      </c>
    </row>
    <row r="218" spans="1:52" s="1" customFormat="1" x14ac:dyDescent="0.2">
      <c r="A218" s="2">
        <v>42377</v>
      </c>
      <c r="B218" s="1">
        <v>292</v>
      </c>
      <c r="C218" s="1">
        <v>200</v>
      </c>
      <c r="D218" s="1">
        <f>B218-C218</f>
        <v>92</v>
      </c>
      <c r="E218" s="2">
        <v>42377</v>
      </c>
      <c r="F218" s="1">
        <v>5</v>
      </c>
      <c r="G218" s="1">
        <v>5</v>
      </c>
      <c r="H218" s="1">
        <f>F218-G218</f>
        <v>0</v>
      </c>
      <c r="I218" s="2">
        <v>42389</v>
      </c>
      <c r="J218" s="1">
        <v>0.12738853503185002</v>
      </c>
      <c r="K218" s="1">
        <v>0.2</v>
      </c>
      <c r="L218" s="4">
        <f>J218-K218</f>
        <v>-7.2611464968149991E-2</v>
      </c>
      <c r="P218" s="4"/>
      <c r="Q218" s="2">
        <v>43630</v>
      </c>
      <c r="R218" s="4">
        <v>0.54746858739156201</v>
      </c>
      <c r="S218" s="1">
        <v>0.6</v>
      </c>
      <c r="T218" s="4">
        <f>R218-S218</f>
        <v>-5.2531412608437966E-2</v>
      </c>
      <c r="U218" s="2">
        <v>42401</v>
      </c>
      <c r="V218" s="1" t="s">
        <v>52</v>
      </c>
      <c r="W218" s="1" t="s">
        <v>52</v>
      </c>
      <c r="X218" s="1">
        <v>0.1</v>
      </c>
      <c r="Y218" s="2">
        <v>42972</v>
      </c>
      <c r="Z218" s="5">
        <v>-6.7943514</v>
      </c>
      <c r="AA218" s="1">
        <v>-6</v>
      </c>
      <c r="AB218" s="4">
        <f>Z218-AA218</f>
        <v>-0.79435140000000004</v>
      </c>
      <c r="AC218" s="2">
        <v>42942</v>
      </c>
      <c r="AD218" s="5">
        <v>0.61</v>
      </c>
      <c r="AE218" s="6">
        <v>0.61499999999999999</v>
      </c>
      <c r="AF218" s="7">
        <f>AD218-AE218</f>
        <v>-5.0000000000000044E-3</v>
      </c>
      <c r="AG218" s="8">
        <v>42395</v>
      </c>
      <c r="AH218" s="6">
        <v>97.8</v>
      </c>
      <c r="AI218" s="1">
        <v>96.5</v>
      </c>
      <c r="AJ218" s="1">
        <f>AH218-AI218</f>
        <v>1.2999999999999972</v>
      </c>
      <c r="AK218" s="2">
        <v>43378</v>
      </c>
      <c r="AL218" s="1">
        <v>0.294550810014721</v>
      </c>
      <c r="AM218" s="1">
        <v>0.3</v>
      </c>
      <c r="AN218" s="4">
        <f>AL218-AM218</f>
        <v>-5.4491899852789905E-3</v>
      </c>
      <c r="AO218" s="2">
        <v>42389</v>
      </c>
      <c r="AP218" s="5">
        <v>-0.1108727</v>
      </c>
      <c r="AQ218" s="1">
        <v>0</v>
      </c>
      <c r="AR218" s="4">
        <f>AP218-AQ218</f>
        <v>-0.1108727</v>
      </c>
      <c r="AS218" s="2">
        <v>42375</v>
      </c>
      <c r="AT218" s="5">
        <v>-42.374000000000002</v>
      </c>
      <c r="AU218" s="1">
        <v>-44</v>
      </c>
      <c r="AV218" s="4">
        <f>AT218-AU218</f>
        <v>1.6259999999999977</v>
      </c>
      <c r="AW218" s="9">
        <v>42384</v>
      </c>
      <c r="AX218" s="4">
        <v>-0.36256672430644599</v>
      </c>
      <c r="AY218" s="6">
        <v>-0.2</v>
      </c>
      <c r="AZ218" s="4">
        <f>AX218-AY218</f>
        <v>-0.16256672430644598</v>
      </c>
    </row>
    <row r="219" spans="1:52" s="1" customFormat="1" x14ac:dyDescent="0.2">
      <c r="A219" s="2">
        <v>42405</v>
      </c>
      <c r="B219" s="1">
        <v>151</v>
      </c>
      <c r="C219" s="1">
        <v>190</v>
      </c>
      <c r="D219" s="1">
        <f>B219-C219</f>
        <v>-39</v>
      </c>
      <c r="E219" s="2">
        <v>42405</v>
      </c>
      <c r="F219" s="1">
        <v>4.9000000000000004</v>
      </c>
      <c r="G219" s="1">
        <v>5</v>
      </c>
      <c r="H219" s="1">
        <f>F219-G219</f>
        <v>-9.9999999999999645E-2</v>
      </c>
      <c r="I219" s="2">
        <v>42419</v>
      </c>
      <c r="J219" s="1">
        <v>0.32154340836012918</v>
      </c>
      <c r="K219" s="1">
        <v>0.2</v>
      </c>
      <c r="L219" s="4">
        <f>J219-K219</f>
        <v>0.12154340836012917</v>
      </c>
      <c r="P219" s="4"/>
      <c r="Q219" s="2">
        <v>43662</v>
      </c>
      <c r="R219" s="4">
        <v>0.42555082077414302</v>
      </c>
      <c r="S219" s="1">
        <v>0.1</v>
      </c>
      <c r="T219" s="4">
        <f>R219-S219</f>
        <v>0.32555082077414299</v>
      </c>
      <c r="U219" s="2">
        <v>42430</v>
      </c>
      <c r="V219" s="1" t="s">
        <v>52</v>
      </c>
      <c r="W219" s="1" t="s">
        <v>52</v>
      </c>
      <c r="X219" s="1">
        <v>1</v>
      </c>
      <c r="Y219" s="2">
        <v>43005</v>
      </c>
      <c r="Z219" s="5">
        <v>1.69848412</v>
      </c>
      <c r="AA219" s="1">
        <v>1</v>
      </c>
      <c r="AB219" s="4">
        <f>Z219-AA219</f>
        <v>0.69848412000000004</v>
      </c>
      <c r="AC219" s="2">
        <v>42970</v>
      </c>
      <c r="AD219" s="5">
        <v>0.57099999999999995</v>
      </c>
      <c r="AE219" s="6">
        <v>0.61199999999999999</v>
      </c>
      <c r="AF219" s="7">
        <f>AD219-AE219</f>
        <v>-4.1000000000000036E-2</v>
      </c>
      <c r="AG219" s="8">
        <v>42423</v>
      </c>
      <c r="AH219" s="6">
        <v>94</v>
      </c>
      <c r="AI219" s="1">
        <v>97</v>
      </c>
      <c r="AJ219" s="1">
        <f>AH219-AI219</f>
        <v>-3</v>
      </c>
      <c r="AK219" s="2">
        <v>43406</v>
      </c>
      <c r="AL219" s="1">
        <v>0.18348623853211199</v>
      </c>
      <c r="AM219" s="1">
        <v>0.2</v>
      </c>
      <c r="AN219" s="4">
        <f>AL219-AM219</f>
        <v>-1.6513761467888022E-2</v>
      </c>
      <c r="AO219" s="2">
        <v>42419</v>
      </c>
      <c r="AP219" s="5">
        <v>2.7726319999999999E-2</v>
      </c>
      <c r="AQ219" s="1">
        <v>-0.1</v>
      </c>
      <c r="AR219" s="4">
        <f>AP219-AQ219</f>
        <v>0.12772632</v>
      </c>
      <c r="AS219" s="2">
        <v>42405</v>
      </c>
      <c r="AT219" s="5">
        <v>-43.356999999999999</v>
      </c>
      <c r="AU219" s="1">
        <v>-43</v>
      </c>
      <c r="AV219" s="4">
        <f>AT219-AU219</f>
        <v>-0.35699999999999932</v>
      </c>
      <c r="AW219" s="9">
        <v>42417</v>
      </c>
      <c r="AX219" s="4">
        <v>0.92453969012618997</v>
      </c>
      <c r="AY219" s="6">
        <v>0.4</v>
      </c>
      <c r="AZ219" s="4">
        <f>AX219-AY219</f>
        <v>0.52453969012618995</v>
      </c>
    </row>
    <row r="220" spans="1:52" s="1" customFormat="1" x14ac:dyDescent="0.2">
      <c r="A220" s="2">
        <v>42433</v>
      </c>
      <c r="B220" s="1">
        <v>242</v>
      </c>
      <c r="C220" s="1">
        <v>190</v>
      </c>
      <c r="D220" s="1">
        <f>B220-C220</f>
        <v>52</v>
      </c>
      <c r="E220" s="2">
        <v>42433</v>
      </c>
      <c r="F220" s="1">
        <v>4.9000000000000004</v>
      </c>
      <c r="G220" s="1">
        <v>4.9000000000000004</v>
      </c>
      <c r="H220" s="1">
        <f>F220-G220</f>
        <v>0</v>
      </c>
      <c r="I220" s="2">
        <v>42445</v>
      </c>
      <c r="J220" s="1">
        <v>0.28258954785672835</v>
      </c>
      <c r="K220" s="1">
        <v>0.2</v>
      </c>
      <c r="L220" s="4">
        <f>J220-K220</f>
        <v>8.258954785672834E-2</v>
      </c>
      <c r="P220" s="4"/>
      <c r="Q220" s="2">
        <v>43692</v>
      </c>
      <c r="R220" s="4">
        <v>0.70288154503135403</v>
      </c>
      <c r="S220" s="1">
        <v>0.3</v>
      </c>
      <c r="T220" s="4">
        <f>R220-S220</f>
        <v>0.40288154503135404</v>
      </c>
      <c r="U220" s="2">
        <v>42461</v>
      </c>
      <c r="V220" s="1" t="s">
        <v>52</v>
      </c>
      <c r="W220" s="1" t="s">
        <v>52</v>
      </c>
      <c r="X220" s="1">
        <v>1.1000000000000001</v>
      </c>
      <c r="Y220" s="2">
        <v>43033</v>
      </c>
      <c r="Z220" s="5">
        <v>2.1631477399999999</v>
      </c>
      <c r="AA220" s="1">
        <v>1</v>
      </c>
      <c r="AB220" s="4">
        <f>Z220-AA220</f>
        <v>1.1631477399999999</v>
      </c>
      <c r="AC220" s="2">
        <v>43004</v>
      </c>
      <c r="AD220" s="5">
        <v>0.56000000000000005</v>
      </c>
      <c r="AE220" s="6">
        <v>0.58799999999999997</v>
      </c>
      <c r="AF220" s="7">
        <f>AD220-AE220</f>
        <v>-2.7999999999999914E-2</v>
      </c>
      <c r="AG220" s="8">
        <v>42458</v>
      </c>
      <c r="AH220" s="6">
        <v>96.1</v>
      </c>
      <c r="AI220" s="1">
        <v>94</v>
      </c>
      <c r="AJ220" s="1">
        <f>AH220-AI220</f>
        <v>2.0999999999999943</v>
      </c>
      <c r="AK220" s="2">
        <v>43441</v>
      </c>
      <c r="AL220" s="1">
        <v>0.21986075485526599</v>
      </c>
      <c r="AM220" s="1">
        <v>0.3</v>
      </c>
      <c r="AN220" s="4">
        <f>AL220-AM220</f>
        <v>-8.0139245144734E-2</v>
      </c>
      <c r="AO220" s="2">
        <v>42445</v>
      </c>
      <c r="AP220" s="5">
        <v>-0.16799169999999999</v>
      </c>
      <c r="AQ220" s="1">
        <v>-0.2</v>
      </c>
      <c r="AR220" s="4">
        <f>AP220-AQ220</f>
        <v>3.2008300000000017E-2</v>
      </c>
      <c r="AS220" s="2">
        <v>42433</v>
      </c>
      <c r="AT220" s="5">
        <v>-45.677</v>
      </c>
      <c r="AU220" s="1">
        <v>-44</v>
      </c>
      <c r="AV220" s="4">
        <f>AT220-AU220</f>
        <v>-1.6769999999999996</v>
      </c>
      <c r="AW220" s="9">
        <v>42445</v>
      </c>
      <c r="AX220" s="4">
        <v>-0.49440460882797299</v>
      </c>
      <c r="AY220" s="6">
        <v>-0.3</v>
      </c>
      <c r="AZ220" s="4">
        <f>AX220-AY220</f>
        <v>-0.194404608827973</v>
      </c>
    </row>
    <row r="221" spans="1:52" s="1" customFormat="1" x14ac:dyDescent="0.2">
      <c r="A221" s="2">
        <v>42461</v>
      </c>
      <c r="B221" s="1">
        <v>215</v>
      </c>
      <c r="C221" s="1">
        <v>205</v>
      </c>
      <c r="D221" s="1">
        <f>B221-C221</f>
        <v>10</v>
      </c>
      <c r="E221" s="2">
        <v>42461</v>
      </c>
      <c r="F221" s="1">
        <v>5</v>
      </c>
      <c r="G221" s="1">
        <v>4.9000000000000004</v>
      </c>
      <c r="H221" s="1">
        <f>F221-G221</f>
        <v>9.9999999999999645E-2</v>
      </c>
      <c r="I221" s="2">
        <v>42474</v>
      </c>
      <c r="J221" s="1">
        <v>6.9126766290530647E-2</v>
      </c>
      <c r="K221" s="1">
        <v>0.2</v>
      </c>
      <c r="L221" s="4">
        <f>J221-K221</f>
        <v>-0.13087323370946935</v>
      </c>
      <c r="P221" s="4"/>
      <c r="Q221" s="2">
        <v>43721</v>
      </c>
      <c r="R221" s="4">
        <v>0.36095504278232998</v>
      </c>
      <c r="S221" s="1">
        <v>0.2</v>
      </c>
      <c r="T221" s="4">
        <f>R221-S221</f>
        <v>0.16095504278232997</v>
      </c>
      <c r="U221" s="2">
        <v>42492</v>
      </c>
      <c r="V221" s="1" t="s">
        <v>52</v>
      </c>
      <c r="W221" s="1" t="s">
        <v>52</v>
      </c>
      <c r="X221" s="1">
        <v>-0.6</v>
      </c>
      <c r="Y221" s="2">
        <v>43061</v>
      </c>
      <c r="Z221" s="5">
        <v>-1.1758105000000001</v>
      </c>
      <c r="AA221" s="1">
        <v>0.3</v>
      </c>
      <c r="AB221" s="4">
        <f>Z221-AA221</f>
        <v>-1.4758105000000001</v>
      </c>
      <c r="AC221" s="2">
        <v>43033</v>
      </c>
      <c r="AD221" s="5">
        <v>0.66700000000000004</v>
      </c>
      <c r="AE221" s="6">
        <v>0.55500000000000005</v>
      </c>
      <c r="AF221" s="7">
        <f>AD221-AE221</f>
        <v>0.11199999999999999</v>
      </c>
      <c r="AG221" s="8">
        <v>42486</v>
      </c>
      <c r="AH221" s="6">
        <v>94.7</v>
      </c>
      <c r="AI221" s="1">
        <v>96</v>
      </c>
      <c r="AJ221" s="1">
        <f>AH221-AI221</f>
        <v>-1.2999999999999972</v>
      </c>
      <c r="AK221" s="2">
        <v>43469</v>
      </c>
      <c r="AL221" s="1">
        <v>0.40189989039093599</v>
      </c>
      <c r="AM221" s="1">
        <v>0.3</v>
      </c>
      <c r="AN221" s="4">
        <f>AL221-AM221</f>
        <v>0.101899890390936</v>
      </c>
      <c r="AO221" s="2">
        <v>42474</v>
      </c>
      <c r="AP221" s="5">
        <v>8.9606110000000003E-2</v>
      </c>
      <c r="AQ221" s="1">
        <v>0.2</v>
      </c>
      <c r="AR221" s="4">
        <f>AP221-AQ221</f>
        <v>-0.11039389000000001</v>
      </c>
      <c r="AS221" s="2">
        <v>42465</v>
      </c>
      <c r="AT221" s="5">
        <v>-47.06</v>
      </c>
      <c r="AU221" s="1">
        <v>-46.2</v>
      </c>
      <c r="AV221" s="4">
        <f>AT221-AU221</f>
        <v>-0.85999999999999943</v>
      </c>
      <c r="AW221" s="9">
        <v>42475</v>
      </c>
      <c r="AX221" s="4">
        <v>-0.59464797589867302</v>
      </c>
      <c r="AY221" s="6">
        <v>-0.1</v>
      </c>
      <c r="AZ221" s="4">
        <f>AX221-AY221</f>
        <v>-0.49464797589867304</v>
      </c>
    </row>
    <row r="222" spans="1:52" s="1" customFormat="1" x14ac:dyDescent="0.2">
      <c r="A222" s="2">
        <v>42496</v>
      </c>
      <c r="B222" s="1">
        <v>160</v>
      </c>
      <c r="C222" s="1">
        <v>202</v>
      </c>
      <c r="D222" s="1">
        <f>B222-C222</f>
        <v>-42</v>
      </c>
      <c r="E222" s="2">
        <v>42496</v>
      </c>
      <c r="F222" s="1">
        <v>5</v>
      </c>
      <c r="G222" s="1">
        <v>5</v>
      </c>
      <c r="H222" s="1">
        <f>F222-G222</f>
        <v>0</v>
      </c>
      <c r="I222" s="2">
        <v>42507</v>
      </c>
      <c r="J222" s="1">
        <v>0.19464028119222798</v>
      </c>
      <c r="K222" s="1">
        <v>0.2</v>
      </c>
      <c r="L222" s="4">
        <f>J222-K222</f>
        <v>-5.3597188077720292E-3</v>
      </c>
      <c r="P222" s="4"/>
      <c r="Q222" s="2">
        <v>43754</v>
      </c>
      <c r="R222" s="4">
        <v>-0.25223529054506699</v>
      </c>
      <c r="S222" s="1">
        <v>0.3</v>
      </c>
      <c r="T222" s="4">
        <f>R222-S222</f>
        <v>-0.55223529054506693</v>
      </c>
      <c r="U222" s="2">
        <v>42522</v>
      </c>
      <c r="V222" s="1" t="s">
        <v>52</v>
      </c>
      <c r="W222" s="1" t="s">
        <v>52</v>
      </c>
      <c r="X222" s="1">
        <v>0.9</v>
      </c>
      <c r="Y222" s="2">
        <v>43091</v>
      </c>
      <c r="Z222" s="5">
        <v>1.30196092</v>
      </c>
      <c r="AA222" s="1">
        <v>2</v>
      </c>
      <c r="AB222" s="4">
        <f>Z222-AA222</f>
        <v>-0.69803908000000003</v>
      </c>
      <c r="AC222" s="2">
        <v>43066</v>
      </c>
      <c r="AD222" s="5">
        <v>0.68500000000000005</v>
      </c>
      <c r="AE222" s="6">
        <v>0.625</v>
      </c>
      <c r="AF222" s="7">
        <f>AD222-AE222</f>
        <v>6.0000000000000053E-2</v>
      </c>
      <c r="AG222" s="8">
        <v>42521</v>
      </c>
      <c r="AH222" s="6">
        <v>92.4</v>
      </c>
      <c r="AI222" s="1">
        <v>96</v>
      </c>
      <c r="AJ222" s="1">
        <f>AH222-AI222</f>
        <v>-3.5999999999999943</v>
      </c>
      <c r="AK222" s="2">
        <v>43497</v>
      </c>
      <c r="AL222" s="1">
        <v>0.10897203051215899</v>
      </c>
      <c r="AM222" s="1">
        <v>0.3</v>
      </c>
      <c r="AN222" s="4">
        <f>AL222-AM222</f>
        <v>-0.19102796948784101</v>
      </c>
      <c r="AO222" s="2">
        <v>42507</v>
      </c>
      <c r="AP222" s="5">
        <v>0.40770007000000003</v>
      </c>
      <c r="AQ222" s="1">
        <v>0.3</v>
      </c>
      <c r="AR222" s="4">
        <f>AP222-AQ222</f>
        <v>0.10770007000000004</v>
      </c>
      <c r="AS222" s="2">
        <v>42494</v>
      </c>
      <c r="AT222" s="5">
        <v>-40.442999999999998</v>
      </c>
      <c r="AU222" s="1">
        <v>-41.5</v>
      </c>
      <c r="AV222" s="4">
        <f>AT222-AU222</f>
        <v>1.0570000000000022</v>
      </c>
      <c r="AW222" s="9">
        <v>42507</v>
      </c>
      <c r="AX222" s="4">
        <v>0.65546328941671606</v>
      </c>
      <c r="AY222" s="6">
        <v>0.3</v>
      </c>
      <c r="AZ222" s="4">
        <f>AX222-AY222</f>
        <v>0.35546328941671607</v>
      </c>
    </row>
    <row r="223" spans="1:52" s="1" customFormat="1" x14ac:dyDescent="0.2">
      <c r="A223" s="2">
        <v>42524</v>
      </c>
      <c r="B223" s="1">
        <v>38</v>
      </c>
      <c r="C223" s="1">
        <v>164</v>
      </c>
      <c r="D223" s="1">
        <f>B223-C223</f>
        <v>-126</v>
      </c>
      <c r="E223" s="2">
        <v>42524</v>
      </c>
      <c r="F223" s="1">
        <v>4.7</v>
      </c>
      <c r="G223" s="1">
        <v>4.9000000000000004</v>
      </c>
      <c r="H223" s="1">
        <f>F223-G223</f>
        <v>-0.20000000000000018</v>
      </c>
      <c r="I223" s="2">
        <v>42537</v>
      </c>
      <c r="J223" s="1">
        <v>0.20277888179613424</v>
      </c>
      <c r="K223" s="1">
        <v>0.2</v>
      </c>
      <c r="L223" s="4">
        <f>J223-K223</f>
        <v>2.7788817961342249E-3</v>
      </c>
      <c r="P223" s="4"/>
      <c r="Q223" s="2">
        <v>43784</v>
      </c>
      <c r="R223" s="4">
        <v>0.26334981729273299</v>
      </c>
      <c r="S223" s="1">
        <v>0.2</v>
      </c>
      <c r="T223" s="4">
        <f>R223-S223</f>
        <v>6.3349817292732979E-2</v>
      </c>
      <c r="U223" s="2">
        <v>42552</v>
      </c>
      <c r="V223" s="1" t="s">
        <v>52</v>
      </c>
      <c r="W223" s="1" t="s">
        <v>52</v>
      </c>
      <c r="X223" s="1">
        <v>1.8</v>
      </c>
      <c r="Y223" s="2">
        <v>43126</v>
      </c>
      <c r="Z223" s="5">
        <v>2.8923097200000001</v>
      </c>
      <c r="AA223" s="1">
        <v>0.8</v>
      </c>
      <c r="AB223" s="4">
        <f>Z223-AA223</f>
        <v>2.0923097200000003</v>
      </c>
      <c r="AC223" s="2">
        <v>43091</v>
      </c>
      <c r="AD223" s="5">
        <v>0.73299999999999998</v>
      </c>
      <c r="AE223" s="6">
        <v>0.65400000000000003</v>
      </c>
      <c r="AF223" s="7">
        <f>AD223-AE223</f>
        <v>7.8999999999999959E-2</v>
      </c>
      <c r="AG223" s="8">
        <v>42549</v>
      </c>
      <c r="AH223" s="6">
        <v>97.4</v>
      </c>
      <c r="AI223" s="1">
        <v>93.3</v>
      </c>
      <c r="AJ223" s="1">
        <f>AH223-AI223</f>
        <v>4.1000000000000085</v>
      </c>
      <c r="AK223" s="2">
        <v>43532</v>
      </c>
      <c r="AL223" s="1">
        <v>0.39927404718692999</v>
      </c>
      <c r="AM223" s="1">
        <v>0.3</v>
      </c>
      <c r="AN223" s="4">
        <f>AL223-AM223</f>
        <v>9.9274047186930003E-2</v>
      </c>
      <c r="AO223" s="2">
        <v>42537</v>
      </c>
      <c r="AP223" s="5">
        <v>0.21767341000000001</v>
      </c>
      <c r="AQ223" s="1">
        <v>0.3</v>
      </c>
      <c r="AR223" s="4">
        <f>AP223-AQ223</f>
        <v>-8.2326589999999977E-2</v>
      </c>
      <c r="AS223" s="2">
        <v>42524</v>
      </c>
      <c r="AT223" s="5">
        <v>-37.436</v>
      </c>
      <c r="AU223" s="1">
        <v>-41.3</v>
      </c>
      <c r="AV223" s="4">
        <f>AT223-AU223</f>
        <v>3.8639999999999972</v>
      </c>
      <c r="AW223" s="9">
        <v>42536</v>
      </c>
      <c r="AX223" s="4">
        <v>-0.41649917584900598</v>
      </c>
      <c r="AY223" s="6">
        <v>-0.2</v>
      </c>
      <c r="AZ223" s="4">
        <f>AX223-AY223</f>
        <v>-0.21649917584900596</v>
      </c>
    </row>
    <row r="224" spans="1:52" s="1" customFormat="1" x14ac:dyDescent="0.2">
      <c r="A224" s="2">
        <v>42559</v>
      </c>
      <c r="B224" s="1">
        <v>287</v>
      </c>
      <c r="C224" s="1">
        <v>175</v>
      </c>
      <c r="D224" s="1">
        <f>B224-C224</f>
        <v>112</v>
      </c>
      <c r="E224" s="2">
        <v>42559</v>
      </c>
      <c r="F224" s="1">
        <v>4.9000000000000004</v>
      </c>
      <c r="G224" s="1">
        <v>4.8</v>
      </c>
      <c r="H224" s="1">
        <f>F224-G224</f>
        <v>0.10000000000000053</v>
      </c>
      <c r="I224" s="2">
        <v>42566</v>
      </c>
      <c r="J224" s="1">
        <v>0.17039429482664797</v>
      </c>
      <c r="K224" s="1">
        <v>0.2</v>
      </c>
      <c r="L224" s="4">
        <f>J224-K224</f>
        <v>-2.9605705173352037E-2</v>
      </c>
      <c r="P224" s="4"/>
      <c r="Q224" s="2">
        <v>43812</v>
      </c>
      <c r="R224" s="4">
        <v>0.190325830991421</v>
      </c>
      <c r="S224" s="1">
        <v>0.5</v>
      </c>
      <c r="T224" s="4">
        <f>R224-S224</f>
        <v>-0.30967416900857903</v>
      </c>
      <c r="U224" s="2">
        <v>42583</v>
      </c>
      <c r="V224" s="1" t="s">
        <v>52</v>
      </c>
      <c r="W224" s="1" t="s">
        <v>52</v>
      </c>
      <c r="X224" s="1">
        <v>-0.4</v>
      </c>
      <c r="Y224" s="2">
        <v>43158</v>
      </c>
      <c r="Z224" s="5">
        <v>-3.6831383999999998</v>
      </c>
      <c r="AA224" s="1">
        <v>-2</v>
      </c>
      <c r="AB224" s="4">
        <f>Z224-AA224</f>
        <v>-1.6831383999999998</v>
      </c>
      <c r="AC224" s="2">
        <v>43125</v>
      </c>
      <c r="AD224" s="5">
        <v>0.625</v>
      </c>
      <c r="AE224" s="6">
        <v>0.67900000000000005</v>
      </c>
      <c r="AF224" s="7">
        <f>AD224-AE224</f>
        <v>-5.4000000000000048E-2</v>
      </c>
      <c r="AG224" s="8">
        <v>42577</v>
      </c>
      <c r="AH224" s="6">
        <v>96.7</v>
      </c>
      <c r="AI224" s="1">
        <v>95.9</v>
      </c>
      <c r="AJ224" s="1">
        <f>AH224-AI224</f>
        <v>0.79999999999999716</v>
      </c>
      <c r="AK224" s="2">
        <v>43560</v>
      </c>
      <c r="AL224" s="1">
        <v>0.144613159797538</v>
      </c>
      <c r="AM224" s="1">
        <v>0.3</v>
      </c>
      <c r="AN224" s="4">
        <f>AL224-AM224</f>
        <v>-0.15538684020246199</v>
      </c>
      <c r="AO224" s="2">
        <v>42566</v>
      </c>
      <c r="AP224" s="5">
        <v>0.21594753999999999</v>
      </c>
      <c r="AQ224" s="1">
        <v>0.3</v>
      </c>
      <c r="AR224" s="4">
        <f>AP224-AQ224</f>
        <v>-8.4052459999999996E-2</v>
      </c>
      <c r="AS224" s="2">
        <v>42557</v>
      </c>
      <c r="AT224" s="5">
        <v>-41.143999999999998</v>
      </c>
      <c r="AU224" s="1">
        <v>-40</v>
      </c>
      <c r="AV224" s="4">
        <f>AT224-AU224</f>
        <v>-1.1439999999999984</v>
      </c>
      <c r="AW224" s="9">
        <v>42566</v>
      </c>
      <c r="AX224" s="4">
        <v>0.60206161663978797</v>
      </c>
      <c r="AY224" s="6">
        <v>0.2</v>
      </c>
      <c r="AZ224" s="4">
        <f>AX224-AY224</f>
        <v>0.40206161663978796</v>
      </c>
    </row>
    <row r="225" spans="1:52" s="1" customFormat="1" x14ac:dyDescent="0.2">
      <c r="A225" s="2">
        <v>42587</v>
      </c>
      <c r="B225" s="1">
        <v>255</v>
      </c>
      <c r="C225" s="1">
        <v>180</v>
      </c>
      <c r="D225" s="1">
        <f>B225-C225</f>
        <v>75</v>
      </c>
      <c r="E225" s="2">
        <v>42587</v>
      </c>
      <c r="F225" s="1">
        <v>4.9000000000000004</v>
      </c>
      <c r="G225" s="1">
        <v>4.8</v>
      </c>
      <c r="H225" s="1">
        <f>F225-G225</f>
        <v>0.10000000000000053</v>
      </c>
      <c r="I225" s="2">
        <v>42598</v>
      </c>
      <c r="J225" s="1">
        <v>8.8082587527016434E-2</v>
      </c>
      <c r="K225" s="1">
        <v>0.2</v>
      </c>
      <c r="L225" s="4">
        <f>J225-K225</f>
        <v>-0.11191741247298358</v>
      </c>
      <c r="P225" s="4"/>
      <c r="Q225" s="2">
        <v>43846</v>
      </c>
      <c r="R225" s="4">
        <v>0.334380997307901</v>
      </c>
      <c r="S225" s="1">
        <v>0.3</v>
      </c>
      <c r="T225" s="4">
        <f>R225-S225</f>
        <v>3.4380997307901007E-2</v>
      </c>
      <c r="U225" s="2">
        <v>42614</v>
      </c>
      <c r="V225" s="1" t="s">
        <v>52</v>
      </c>
      <c r="W225" s="1" t="s">
        <v>52</v>
      </c>
      <c r="X225" s="1">
        <v>-2.6</v>
      </c>
      <c r="Y225" s="2">
        <v>43182</v>
      </c>
      <c r="Z225" s="5">
        <v>3.1002751100000001</v>
      </c>
      <c r="AA225" s="1">
        <v>1.5</v>
      </c>
      <c r="AB225" s="4">
        <f>Z225-AA225</f>
        <v>1.6002751100000001</v>
      </c>
      <c r="AC225" s="2">
        <v>43157</v>
      </c>
      <c r="AD225" s="5">
        <v>0.59299999999999997</v>
      </c>
      <c r="AE225" s="6">
        <v>0.64500000000000002</v>
      </c>
      <c r="AF225" s="7">
        <f>AD225-AE225</f>
        <v>-5.2000000000000046E-2</v>
      </c>
      <c r="AG225" s="8">
        <v>42612</v>
      </c>
      <c r="AH225" s="6">
        <v>101.8</v>
      </c>
      <c r="AI225" s="1">
        <v>97</v>
      </c>
      <c r="AJ225" s="1">
        <f>AH225-AI225</f>
        <v>4.7999999999999972</v>
      </c>
      <c r="AK225" s="2">
        <v>43588</v>
      </c>
      <c r="AL225" s="1">
        <v>0.216528329123055</v>
      </c>
      <c r="AM225" s="1">
        <v>0.3</v>
      </c>
      <c r="AN225" s="4">
        <f>AL225-AM225</f>
        <v>-8.3471670876944987E-2</v>
      </c>
      <c r="AO225" s="2">
        <v>42598</v>
      </c>
      <c r="AP225" s="5">
        <v>-4.1262600000000003E-2</v>
      </c>
      <c r="AQ225" s="1">
        <v>0</v>
      </c>
      <c r="AR225" s="4">
        <f>AP225-AQ225</f>
        <v>-4.1262600000000003E-2</v>
      </c>
      <c r="AS225" s="2">
        <v>42587</v>
      </c>
      <c r="AT225" s="5">
        <v>-44.51</v>
      </c>
      <c r="AU225" s="1">
        <v>-43.1</v>
      </c>
      <c r="AV225" s="4">
        <f>AT225-AU225</f>
        <v>-1.4099999999999966</v>
      </c>
      <c r="AW225" s="9">
        <v>42598</v>
      </c>
      <c r="AX225" s="4">
        <v>0.74158503117864405</v>
      </c>
      <c r="AY225" s="6">
        <v>0.3</v>
      </c>
      <c r="AZ225" s="4">
        <f>AX225-AY225</f>
        <v>0.44158503117864406</v>
      </c>
    </row>
    <row r="226" spans="1:52" s="1" customFormat="1" x14ac:dyDescent="0.2">
      <c r="A226" s="2">
        <v>42615</v>
      </c>
      <c r="B226" s="1">
        <v>151</v>
      </c>
      <c r="C226" s="1">
        <v>180</v>
      </c>
      <c r="D226" s="1">
        <f>B226-C226</f>
        <v>-29</v>
      </c>
      <c r="E226" s="2">
        <v>42615</v>
      </c>
      <c r="F226" s="1">
        <v>4.9000000000000004</v>
      </c>
      <c r="G226" s="1">
        <v>4.8</v>
      </c>
      <c r="H226" s="1">
        <f>F226-G226</f>
        <v>0.10000000000000053</v>
      </c>
      <c r="I226" s="2">
        <v>42629</v>
      </c>
      <c r="J226" s="1">
        <v>0.25230811463265956</v>
      </c>
      <c r="K226" s="1">
        <v>0.2</v>
      </c>
      <c r="L226" s="4">
        <f>J226-K226</f>
        <v>5.2308114632659553E-2</v>
      </c>
      <c r="P226" s="4"/>
      <c r="Q226" s="2">
        <v>43875</v>
      </c>
      <c r="R226" s="4">
        <v>0.26477808038730599</v>
      </c>
      <c r="S226" s="1">
        <v>0.3</v>
      </c>
      <c r="T226" s="4">
        <f>R226-S226</f>
        <v>-3.5221919612693997E-2</v>
      </c>
      <c r="U226" s="2">
        <v>42646</v>
      </c>
      <c r="V226" s="1" t="s">
        <v>52</v>
      </c>
      <c r="W226" s="1" t="s">
        <v>52</v>
      </c>
      <c r="X226" s="1">
        <v>1.2</v>
      </c>
      <c r="Y226" s="2">
        <v>43216</v>
      </c>
      <c r="Z226" s="5">
        <v>2.56382405</v>
      </c>
      <c r="AA226" s="1">
        <v>1.6</v>
      </c>
      <c r="AB226" s="4">
        <f>Z226-AA226</f>
        <v>0.96382404999999993</v>
      </c>
      <c r="AC226" s="2">
        <v>43182</v>
      </c>
      <c r="AD226" s="5">
        <v>0.61799999999999999</v>
      </c>
      <c r="AE226" s="6">
        <v>0.623</v>
      </c>
      <c r="AF226" s="7">
        <f>AD226-AE226</f>
        <v>-5.0000000000000044E-3</v>
      </c>
      <c r="AG226" s="8">
        <v>42640</v>
      </c>
      <c r="AH226" s="6">
        <v>103.5</v>
      </c>
      <c r="AI226" s="1">
        <v>99</v>
      </c>
      <c r="AJ226" s="1">
        <f>AH226-AI226</f>
        <v>4.5</v>
      </c>
      <c r="AK226" s="2">
        <v>43623</v>
      </c>
      <c r="AL226" s="1">
        <v>0.21606049693913801</v>
      </c>
      <c r="AM226" s="1">
        <v>0.3</v>
      </c>
      <c r="AN226" s="4">
        <f>AL226-AM226</f>
        <v>-8.3939503060861981E-2</v>
      </c>
      <c r="AO226" s="2">
        <v>42629</v>
      </c>
      <c r="AP226" s="5">
        <v>0.19889254000000001</v>
      </c>
      <c r="AQ226" s="1">
        <v>0.1</v>
      </c>
      <c r="AR226" s="4">
        <f>AP226-AQ226</f>
        <v>9.8892540000000001E-2</v>
      </c>
      <c r="AS226" s="2">
        <v>42615</v>
      </c>
      <c r="AT226" s="5">
        <v>-39.473999999999997</v>
      </c>
      <c r="AU226" s="1">
        <v>-42.7</v>
      </c>
      <c r="AV226" s="4">
        <f>AT226-AU226</f>
        <v>3.2260000000000062</v>
      </c>
      <c r="AW226" s="9">
        <v>42628</v>
      </c>
      <c r="AX226" s="4">
        <v>-0.43297639801783899</v>
      </c>
      <c r="AY226" s="6">
        <v>-0.3</v>
      </c>
      <c r="AZ226" s="4">
        <f>AX226-AY226</f>
        <v>-0.132976398017839</v>
      </c>
    </row>
    <row r="227" spans="1:52" s="1" customFormat="1" x14ac:dyDescent="0.2">
      <c r="A227" s="2">
        <v>42650</v>
      </c>
      <c r="B227" s="1">
        <v>156</v>
      </c>
      <c r="C227" s="1">
        <v>175</v>
      </c>
      <c r="D227" s="1">
        <f>B227-C227</f>
        <v>-19</v>
      </c>
      <c r="E227" s="2">
        <v>42650</v>
      </c>
      <c r="F227" s="1">
        <v>5</v>
      </c>
      <c r="G227" s="1">
        <v>4.9000000000000004</v>
      </c>
      <c r="H227" s="1">
        <f>F227-G227</f>
        <v>9.9999999999999645E-2</v>
      </c>
      <c r="I227" s="2">
        <v>42661</v>
      </c>
      <c r="J227" s="1">
        <v>0.10993082009196986</v>
      </c>
      <c r="K227" s="1">
        <v>0.2</v>
      </c>
      <c r="L227" s="4">
        <f>J227-K227</f>
        <v>-9.006917990803015E-2</v>
      </c>
      <c r="P227" s="4"/>
      <c r="Q227" s="2">
        <v>43907</v>
      </c>
      <c r="R227" s="4">
        <v>-0.53057841900062097</v>
      </c>
      <c r="S227" s="1">
        <v>0.2</v>
      </c>
      <c r="T227" s="4">
        <f>R227-S227</f>
        <v>-0.73057841900062104</v>
      </c>
      <c r="U227" s="2">
        <v>42675</v>
      </c>
      <c r="V227" s="1" t="s">
        <v>52</v>
      </c>
      <c r="W227" s="1" t="s">
        <v>52</v>
      </c>
      <c r="X227" s="1">
        <v>0.2</v>
      </c>
      <c r="Y227" s="2">
        <v>43245</v>
      </c>
      <c r="Z227" s="5">
        <v>-1.6550708999999999</v>
      </c>
      <c r="AA227" s="1">
        <v>-1.4</v>
      </c>
      <c r="AB227" s="4">
        <f>Z227-AA227</f>
        <v>-0.25507089999999999</v>
      </c>
      <c r="AC227" s="2">
        <v>43214</v>
      </c>
      <c r="AD227" s="5">
        <v>0.69399999999999995</v>
      </c>
      <c r="AE227" s="6">
        <v>0.63</v>
      </c>
      <c r="AF227" s="7">
        <f>AD227-AE227</f>
        <v>6.3999999999999946E-2</v>
      </c>
      <c r="AG227" s="8">
        <v>42668</v>
      </c>
      <c r="AH227" s="6">
        <v>100.8</v>
      </c>
      <c r="AI227" s="1">
        <v>101</v>
      </c>
      <c r="AJ227" s="1">
        <f>AH227-AI227</f>
        <v>-0.20000000000000284</v>
      </c>
      <c r="AK227" s="2">
        <v>43651</v>
      </c>
      <c r="AL227" s="1">
        <v>0.215517241379305</v>
      </c>
      <c r="AM227" s="1">
        <v>0.3</v>
      </c>
      <c r="AN227" s="4">
        <f>AL227-AM227</f>
        <v>-8.4482758620694987E-2</v>
      </c>
      <c r="AO227" s="2">
        <v>42661</v>
      </c>
      <c r="AP227" s="5">
        <v>0.29171746999999998</v>
      </c>
      <c r="AQ227" s="1">
        <v>0.3</v>
      </c>
      <c r="AR227" s="4">
        <f>AP227-AQ227</f>
        <v>-8.2825300000000102E-3</v>
      </c>
      <c r="AS227" s="2">
        <v>42648</v>
      </c>
      <c r="AT227" s="5">
        <v>-40.725000000000001</v>
      </c>
      <c r="AU227" s="1">
        <v>-39.299999999999997</v>
      </c>
      <c r="AV227" s="4">
        <f>AT227-AU227</f>
        <v>-1.4250000000000043</v>
      </c>
      <c r="AW227" s="9">
        <v>42660</v>
      </c>
      <c r="AX227" s="4">
        <v>5.8753052854706597E-2</v>
      </c>
      <c r="AY227" s="6">
        <v>0.1</v>
      </c>
      <c r="AZ227" s="4">
        <f>AX227-AY227</f>
        <v>-4.1246947145293408E-2</v>
      </c>
    </row>
    <row r="228" spans="1:52" s="1" customFormat="1" x14ac:dyDescent="0.2">
      <c r="A228" s="2">
        <v>42678</v>
      </c>
      <c r="B228" s="1">
        <v>161</v>
      </c>
      <c r="C228" s="1">
        <v>175</v>
      </c>
      <c r="D228" s="1">
        <f>B228-C228</f>
        <v>-14</v>
      </c>
      <c r="E228" s="2">
        <v>42678</v>
      </c>
      <c r="F228" s="1">
        <v>4.9000000000000004</v>
      </c>
      <c r="G228" s="1">
        <v>4.9000000000000004</v>
      </c>
      <c r="H228" s="1">
        <f>F228-G228</f>
        <v>0</v>
      </c>
      <c r="I228" s="2">
        <v>42691</v>
      </c>
      <c r="J228" s="1">
        <v>0.14882688215726761</v>
      </c>
      <c r="K228" s="1">
        <v>0.2</v>
      </c>
      <c r="L228" s="4">
        <f>J228-K228</f>
        <v>-5.1173117842732402E-2</v>
      </c>
      <c r="P228" s="4"/>
      <c r="Q228" s="2">
        <v>43936</v>
      </c>
      <c r="R228" s="4">
        <v>-8.7283802729083106</v>
      </c>
      <c r="S228" s="1">
        <v>-8</v>
      </c>
      <c r="T228" s="4">
        <f>R228-S228</f>
        <v>-0.72838027290831064</v>
      </c>
      <c r="U228" s="2">
        <v>42705</v>
      </c>
      <c r="V228" s="1" t="s">
        <v>52</v>
      </c>
      <c r="W228" s="1" t="s">
        <v>52</v>
      </c>
      <c r="X228" s="1">
        <v>1</v>
      </c>
      <c r="Y228" s="2">
        <v>43278</v>
      </c>
      <c r="Z228" s="5">
        <v>-0.56521790000000005</v>
      </c>
      <c r="AA228" s="1">
        <v>-1</v>
      </c>
      <c r="AB228" s="4">
        <f>Z228-AA228</f>
        <v>0.43478209999999995</v>
      </c>
      <c r="AC228" s="2">
        <v>43243</v>
      </c>
      <c r="AD228" s="5">
        <v>0.66200000000000003</v>
      </c>
      <c r="AE228" s="6">
        <v>0.67900000000000005</v>
      </c>
      <c r="AF228" s="7">
        <f>AD228-AE228</f>
        <v>-1.7000000000000015E-2</v>
      </c>
      <c r="AG228" s="8">
        <v>42703</v>
      </c>
      <c r="AH228" s="6">
        <v>109.4</v>
      </c>
      <c r="AI228" s="1">
        <v>101.2</v>
      </c>
      <c r="AJ228" s="1">
        <f>AH228-AI228</f>
        <v>8.2000000000000028</v>
      </c>
      <c r="AK228" s="2">
        <v>43679</v>
      </c>
      <c r="AL228" s="1">
        <v>0.28673835125448599</v>
      </c>
      <c r="AM228" s="1">
        <v>0.2</v>
      </c>
      <c r="AN228" s="4">
        <f>AL228-AM228</f>
        <v>8.6738351254485979E-2</v>
      </c>
      <c r="AO228" s="2">
        <v>42691</v>
      </c>
      <c r="AP228" s="5">
        <v>0.35725845000000001</v>
      </c>
      <c r="AQ228" s="1">
        <v>0.4</v>
      </c>
      <c r="AR228" s="4">
        <f>AP228-AQ228</f>
        <v>-4.2741550000000017E-2</v>
      </c>
      <c r="AS228" s="2">
        <v>42678</v>
      </c>
      <c r="AT228" s="5">
        <v>-36.44</v>
      </c>
      <c r="AU228" s="1">
        <v>-37.799999999999997</v>
      </c>
      <c r="AV228" s="4">
        <f>AT228-AU228</f>
        <v>1.3599999999999994</v>
      </c>
      <c r="AW228" s="9">
        <v>42690</v>
      </c>
      <c r="AX228" s="4">
        <v>4.2120493395039899E-2</v>
      </c>
      <c r="AY228" s="6">
        <v>0.2</v>
      </c>
      <c r="AZ228" s="4">
        <f>AX228-AY228</f>
        <v>-0.15787950660496011</v>
      </c>
    </row>
    <row r="229" spans="1:52" s="1" customFormat="1" x14ac:dyDescent="0.2">
      <c r="A229" s="2">
        <v>42706</v>
      </c>
      <c r="B229" s="1">
        <v>178</v>
      </c>
      <c r="C229" s="1">
        <v>175</v>
      </c>
      <c r="D229" s="1">
        <f>B229-C229</f>
        <v>3</v>
      </c>
      <c r="E229" s="2">
        <v>42706</v>
      </c>
      <c r="F229" s="1">
        <v>4.5999999999999996</v>
      </c>
      <c r="G229" s="1">
        <v>4.9000000000000004</v>
      </c>
      <c r="H229" s="1">
        <f>F229-G229</f>
        <v>-0.30000000000000071</v>
      </c>
      <c r="I229" s="2">
        <v>42719</v>
      </c>
      <c r="J229" s="1">
        <v>0.15101553933834502</v>
      </c>
      <c r="K229" s="1">
        <v>0.2</v>
      </c>
      <c r="L229" s="4">
        <f>J229-K229</f>
        <v>-4.8984460661654988E-2</v>
      </c>
      <c r="P229" s="4"/>
      <c r="Q229" s="2">
        <v>43966</v>
      </c>
      <c r="R229" s="4">
        <v>-16.449627282429699</v>
      </c>
      <c r="S229" s="1">
        <v>-12</v>
      </c>
      <c r="T229" s="4">
        <f>R229-S229</f>
        <v>-4.4496272824296987</v>
      </c>
      <c r="U229" s="2">
        <v>42738</v>
      </c>
      <c r="V229" s="1" t="s">
        <v>52</v>
      </c>
      <c r="W229" s="1" t="s">
        <v>52</v>
      </c>
      <c r="X229" s="1">
        <v>1.1000000000000001</v>
      </c>
      <c r="Y229" s="2">
        <v>43307</v>
      </c>
      <c r="Z229" s="5">
        <v>0.99518046999999998</v>
      </c>
      <c r="AA229" s="1">
        <v>3</v>
      </c>
      <c r="AB229" s="4">
        <f>Z229-AA229</f>
        <v>-2.0048195299999998</v>
      </c>
      <c r="AC229" s="2">
        <v>43276</v>
      </c>
      <c r="AD229" s="5">
        <v>0.68899999999999995</v>
      </c>
      <c r="AE229" s="6">
        <v>0.66700000000000004</v>
      </c>
      <c r="AF229" s="7">
        <f>AD229-AE229</f>
        <v>2.1999999999999909E-2</v>
      </c>
      <c r="AG229" s="8">
        <v>42731</v>
      </c>
      <c r="AH229" s="6">
        <v>113.3</v>
      </c>
      <c r="AI229" s="1">
        <v>109</v>
      </c>
      <c r="AJ229" s="1">
        <f>AH229-AI229</f>
        <v>4.2999999999999972</v>
      </c>
      <c r="AK229" s="2">
        <v>43714</v>
      </c>
      <c r="AL229" s="1">
        <v>0.39285714285714002</v>
      </c>
      <c r="AM229" s="1">
        <v>0.3</v>
      </c>
      <c r="AN229" s="4">
        <f>AL229-AM229</f>
        <v>9.2857142857140029E-2</v>
      </c>
      <c r="AO229" s="2">
        <v>42719</v>
      </c>
      <c r="AP229" s="5">
        <v>0.20052674000000001</v>
      </c>
      <c r="AQ229" s="1">
        <v>0.2</v>
      </c>
      <c r="AR229" s="4">
        <f>AP229-AQ229</f>
        <v>5.2673999999999777E-4</v>
      </c>
      <c r="AS229" s="2">
        <v>42710</v>
      </c>
      <c r="AT229" s="5">
        <v>-42.600999999999999</v>
      </c>
      <c r="AU229" s="1">
        <v>-41.8</v>
      </c>
      <c r="AV229" s="4">
        <f>AT229-AU229</f>
        <v>-0.80100000000000193</v>
      </c>
      <c r="AW229" s="9">
        <v>42718</v>
      </c>
      <c r="AX229" s="4">
        <v>-0.44057381960054498</v>
      </c>
      <c r="AY229" s="6">
        <v>-0.2</v>
      </c>
      <c r="AZ229" s="4">
        <f>AX229-AY229</f>
        <v>-0.24057381960054497</v>
      </c>
    </row>
    <row r="230" spans="1:52" s="1" customFormat="1" x14ac:dyDescent="0.2">
      <c r="A230" s="2">
        <v>42741</v>
      </c>
      <c r="B230" s="1">
        <v>156</v>
      </c>
      <c r="C230" s="1">
        <v>178</v>
      </c>
      <c r="D230" s="1">
        <f>B230-C230</f>
        <v>-22</v>
      </c>
      <c r="E230" s="2">
        <v>42741</v>
      </c>
      <c r="F230" s="1">
        <v>4.7</v>
      </c>
      <c r="G230" s="1">
        <v>4.7</v>
      </c>
      <c r="H230" s="1">
        <f>F230-G230</f>
        <v>0</v>
      </c>
      <c r="I230" s="2">
        <v>42753</v>
      </c>
      <c r="J230" s="1">
        <v>0.22979102250989847</v>
      </c>
      <c r="K230" s="1">
        <v>0.2</v>
      </c>
      <c r="L230" s="4">
        <f>J230-K230</f>
        <v>2.9791022509898457E-2</v>
      </c>
      <c r="P230" s="4"/>
      <c r="Q230" s="2">
        <v>43998</v>
      </c>
      <c r="R230" s="4">
        <v>17.6861959978282</v>
      </c>
      <c r="S230" s="1">
        <v>8</v>
      </c>
      <c r="T230" s="4">
        <f>R230-S230</f>
        <v>9.6861959978282002</v>
      </c>
      <c r="U230" s="2">
        <v>42767</v>
      </c>
      <c r="V230" s="1" t="s">
        <v>52</v>
      </c>
      <c r="W230" s="1" t="s">
        <v>52</v>
      </c>
      <c r="X230" s="1">
        <v>1</v>
      </c>
      <c r="Y230" s="2">
        <v>43336</v>
      </c>
      <c r="Z230" s="5">
        <v>-1.8375729999999999</v>
      </c>
      <c r="AA230" s="1">
        <v>-0.5</v>
      </c>
      <c r="AB230" s="4">
        <f>Z230-AA230</f>
        <v>-1.3375729999999999</v>
      </c>
      <c r="AC230" s="2">
        <v>43306</v>
      </c>
      <c r="AD230" s="5">
        <v>0.63100000000000001</v>
      </c>
      <c r="AE230" s="6">
        <v>0.67</v>
      </c>
      <c r="AF230" s="7">
        <f>AD230-AE230</f>
        <v>-3.9000000000000035E-2</v>
      </c>
      <c r="AG230" s="8">
        <v>42766</v>
      </c>
      <c r="AH230" s="6">
        <v>111.6</v>
      </c>
      <c r="AI230" s="1">
        <v>113</v>
      </c>
      <c r="AJ230" s="1">
        <f>AH230-AI230</f>
        <v>-1.4000000000000057</v>
      </c>
      <c r="AK230" s="2">
        <v>43742</v>
      </c>
      <c r="AL230" s="1">
        <v>-3.5587188612105199E-2</v>
      </c>
      <c r="AM230" s="1">
        <v>0.3</v>
      </c>
      <c r="AN230" s="4">
        <f>AL230-AM230</f>
        <v>-0.33558718861210518</v>
      </c>
      <c r="AO230" s="2">
        <v>42753</v>
      </c>
      <c r="AP230" s="5">
        <v>0.28223875999999998</v>
      </c>
      <c r="AQ230" s="1">
        <v>0.3</v>
      </c>
      <c r="AR230" s="4">
        <f>AP230-AQ230</f>
        <v>-1.7761240000000011E-2</v>
      </c>
      <c r="AS230" s="2">
        <v>42741</v>
      </c>
      <c r="AT230" s="5">
        <v>-45.24</v>
      </c>
      <c r="AU230" s="1">
        <v>-42.5</v>
      </c>
      <c r="AV230" s="4">
        <f>AT230-AU230</f>
        <v>-2.740000000000002</v>
      </c>
      <c r="AW230" s="9">
        <v>42753</v>
      </c>
      <c r="AX230" s="4">
        <v>0.82980910340891401</v>
      </c>
      <c r="AY230" s="6">
        <v>0.6</v>
      </c>
      <c r="AZ230" s="4">
        <f>AX230-AY230</f>
        <v>0.22980910340891403</v>
      </c>
    </row>
    <row r="231" spans="1:52" s="1" customFormat="1" x14ac:dyDescent="0.2">
      <c r="A231" s="2">
        <v>42769</v>
      </c>
      <c r="B231" s="1">
        <v>227</v>
      </c>
      <c r="C231" s="1">
        <v>175</v>
      </c>
      <c r="D231" s="1">
        <f>B231-C231</f>
        <v>52</v>
      </c>
      <c r="E231" s="2">
        <v>42769</v>
      </c>
      <c r="F231" s="1">
        <v>4.8</v>
      </c>
      <c r="G231" s="1">
        <v>4.7</v>
      </c>
      <c r="H231" s="1">
        <f>F231-G231</f>
        <v>9.9999999999999645E-2</v>
      </c>
      <c r="I231" s="2">
        <v>42781</v>
      </c>
      <c r="J231" s="1">
        <v>0.34129556275756423</v>
      </c>
      <c r="K231" s="1">
        <v>0.2</v>
      </c>
      <c r="L231" s="4">
        <f>J231-K231</f>
        <v>0.14129556275756422</v>
      </c>
      <c r="P231" s="4"/>
      <c r="Q231" s="2">
        <v>44028</v>
      </c>
      <c r="R231" s="4">
        <v>7.5040803103496296</v>
      </c>
      <c r="S231" s="1">
        <v>5</v>
      </c>
      <c r="T231" s="4">
        <f>R231-S231</f>
        <v>2.5040803103496296</v>
      </c>
      <c r="U231" s="2">
        <v>42795</v>
      </c>
      <c r="V231" s="1" t="s">
        <v>52</v>
      </c>
      <c r="W231" s="1" t="s">
        <v>52</v>
      </c>
      <c r="X231" s="1">
        <v>1.7</v>
      </c>
      <c r="Y231" s="2">
        <v>43370</v>
      </c>
      <c r="Z231" s="5">
        <v>4.4513919900000003</v>
      </c>
      <c r="AA231" s="1">
        <v>2</v>
      </c>
      <c r="AB231" s="4">
        <f>Z231-AA231</f>
        <v>2.4513919900000003</v>
      </c>
      <c r="AC231" s="2">
        <v>43335</v>
      </c>
      <c r="AD231" s="5">
        <v>0.627</v>
      </c>
      <c r="AE231" s="6">
        <v>0.64500000000000002</v>
      </c>
      <c r="AF231" s="7">
        <f>AD231-AE231</f>
        <v>-1.8000000000000016E-2</v>
      </c>
      <c r="AG231" s="8">
        <v>42794</v>
      </c>
      <c r="AH231" s="6">
        <v>116.1</v>
      </c>
      <c r="AI231" s="1">
        <v>111</v>
      </c>
      <c r="AJ231" s="1">
        <f>AH231-AI231</f>
        <v>5.0999999999999943</v>
      </c>
      <c r="AK231" s="2">
        <v>43770</v>
      </c>
      <c r="AL231" s="1">
        <v>0.21337126600284001</v>
      </c>
      <c r="AM231" s="1">
        <v>0.3</v>
      </c>
      <c r="AN231" s="4">
        <f>AL231-AM231</f>
        <v>-8.6628733997159979E-2</v>
      </c>
      <c r="AO231" s="2">
        <v>42781</v>
      </c>
      <c r="AP231" s="5">
        <v>0.55061135999999999</v>
      </c>
      <c r="AQ231" s="1">
        <v>0.3</v>
      </c>
      <c r="AR231" s="4">
        <f>AP231-AQ231</f>
        <v>0.25061136000000001</v>
      </c>
      <c r="AS231" s="2">
        <v>42773</v>
      </c>
      <c r="AT231" s="5">
        <v>-44.262</v>
      </c>
      <c r="AU231" s="1">
        <v>-45</v>
      </c>
      <c r="AV231" s="4">
        <f>AT231-AU231</f>
        <v>0.73799999999999955</v>
      </c>
      <c r="AW231" s="9">
        <v>42781</v>
      </c>
      <c r="AX231" s="4">
        <v>-0.25062608820091598</v>
      </c>
      <c r="AY231" s="6">
        <v>0</v>
      </c>
      <c r="AZ231" s="4">
        <f>AX231-AY231</f>
        <v>-0.25062608820091598</v>
      </c>
    </row>
    <row r="232" spans="1:52" s="1" customFormat="1" x14ac:dyDescent="0.2">
      <c r="A232" s="2">
        <v>42804</v>
      </c>
      <c r="B232" s="1">
        <v>235</v>
      </c>
      <c r="C232" s="1">
        <v>190</v>
      </c>
      <c r="D232" s="1">
        <f>B232-C232</f>
        <v>45</v>
      </c>
      <c r="E232" s="2">
        <v>42804</v>
      </c>
      <c r="F232" s="1">
        <v>4.7</v>
      </c>
      <c r="G232" s="1">
        <v>4.7</v>
      </c>
      <c r="H232" s="1">
        <f>F232-G232</f>
        <v>0</v>
      </c>
      <c r="I232" s="2">
        <v>42809</v>
      </c>
      <c r="J232" s="1">
        <v>0.20575557354366908</v>
      </c>
      <c r="K232" s="1">
        <v>0.2</v>
      </c>
      <c r="L232" s="4">
        <f>J232-K232</f>
        <v>5.755573543669068E-3</v>
      </c>
      <c r="P232" s="4"/>
      <c r="Q232" s="2">
        <v>44057</v>
      </c>
      <c r="R232" s="4">
        <v>1.2440592675426301</v>
      </c>
      <c r="S232" s="1">
        <v>1.9</v>
      </c>
      <c r="T232" s="4">
        <f>R232-S232</f>
        <v>-0.65594073245736984</v>
      </c>
      <c r="U232" s="2">
        <v>42828</v>
      </c>
      <c r="V232" s="1" t="s">
        <v>52</v>
      </c>
      <c r="W232" s="1" t="s">
        <v>52</v>
      </c>
      <c r="X232" s="1">
        <v>0.2</v>
      </c>
      <c r="Y232" s="2">
        <v>43398</v>
      </c>
      <c r="Z232" s="5">
        <v>0.75731946999999999</v>
      </c>
      <c r="AA232" s="1">
        <v>-1</v>
      </c>
      <c r="AB232" s="4">
        <f>Z232-AA232</f>
        <v>1.7573194700000001</v>
      </c>
      <c r="AC232" s="2">
        <v>43369</v>
      </c>
      <c r="AD232" s="5">
        <v>0.629</v>
      </c>
      <c r="AE232" s="6">
        <v>0.63</v>
      </c>
      <c r="AF232" s="7">
        <f>AD232-AE232</f>
        <v>-1.0000000000000009E-3</v>
      </c>
      <c r="AG232" s="8">
        <v>42822</v>
      </c>
      <c r="AH232" s="6">
        <v>124.9</v>
      </c>
      <c r="AI232" s="1">
        <v>114</v>
      </c>
      <c r="AJ232" s="1">
        <f>AH232-AI232</f>
        <v>10.900000000000006</v>
      </c>
      <c r="AK232" s="2">
        <v>43805</v>
      </c>
      <c r="AL232" s="1">
        <v>0.248051027639972</v>
      </c>
      <c r="AM232" s="1">
        <v>0.3</v>
      </c>
      <c r="AN232" s="4">
        <f>AL232-AM232</f>
        <v>-5.194897236002799E-2</v>
      </c>
      <c r="AO232" s="2">
        <v>42809</v>
      </c>
      <c r="AP232" s="5">
        <v>0.12205211000000001</v>
      </c>
      <c r="AQ232" s="1">
        <v>0</v>
      </c>
      <c r="AR232" s="4">
        <f>AP232-AQ232</f>
        <v>0.12205211000000001</v>
      </c>
      <c r="AS232" s="2">
        <v>42801</v>
      </c>
      <c r="AT232" s="5">
        <v>-48.491999999999997</v>
      </c>
      <c r="AU232" s="1">
        <v>-48.5</v>
      </c>
      <c r="AV232" s="4">
        <f>AT232-AU232</f>
        <v>8.0000000000026716E-3</v>
      </c>
      <c r="AW232" s="9">
        <v>42811</v>
      </c>
      <c r="AX232" s="4">
        <v>7.0658759251187604E-3</v>
      </c>
      <c r="AY232" s="6">
        <v>0.2</v>
      </c>
      <c r="AZ232" s="4">
        <f>AX232-AY232</f>
        <v>-0.19293412407488125</v>
      </c>
    </row>
    <row r="233" spans="1:52" s="1" customFormat="1" x14ac:dyDescent="0.2">
      <c r="A233" s="2">
        <v>42832</v>
      </c>
      <c r="B233" s="1">
        <v>98</v>
      </c>
      <c r="C233" s="1">
        <v>180</v>
      </c>
      <c r="D233" s="1">
        <f>B233-C233</f>
        <v>-82</v>
      </c>
      <c r="E233" s="2">
        <v>42832</v>
      </c>
      <c r="F233" s="1">
        <v>4.5</v>
      </c>
      <c r="G233" s="1">
        <v>4.7</v>
      </c>
      <c r="H233" s="1">
        <f>F233-G233</f>
        <v>-0.20000000000000018</v>
      </c>
      <c r="I233" s="2">
        <v>42839</v>
      </c>
      <c r="J233" s="1">
        <v>-0.12176729712414756</v>
      </c>
      <c r="K233" s="1">
        <v>0.2</v>
      </c>
      <c r="L233" s="4">
        <f>J233-K233</f>
        <v>-0.32176729712414759</v>
      </c>
      <c r="P233" s="4"/>
      <c r="Q233" s="2">
        <v>44090</v>
      </c>
      <c r="R233" s="4">
        <v>0.55522506444576603</v>
      </c>
      <c r="S233" s="1">
        <v>1</v>
      </c>
      <c r="T233" s="4">
        <f>R233-S233</f>
        <v>-0.44477493555423397</v>
      </c>
      <c r="U233" s="2">
        <v>42856</v>
      </c>
      <c r="V233" s="1" t="s">
        <v>52</v>
      </c>
      <c r="W233" s="1" t="s">
        <v>52</v>
      </c>
      <c r="X233" s="1">
        <v>-1.7</v>
      </c>
      <c r="Y233" s="2">
        <v>43425</v>
      </c>
      <c r="Z233" s="5">
        <v>-4.4208987999999998</v>
      </c>
      <c r="AA233" s="1">
        <v>-2.5</v>
      </c>
      <c r="AB233" s="4">
        <f>Z233-AA233</f>
        <v>-1.9208987999999998</v>
      </c>
      <c r="AC233" s="2">
        <v>43397</v>
      </c>
      <c r="AD233" s="5">
        <v>0.55300000000000005</v>
      </c>
      <c r="AE233" s="6">
        <v>0.625</v>
      </c>
      <c r="AF233" s="7">
        <f>AD233-AE233</f>
        <v>-7.1999999999999953E-2</v>
      </c>
      <c r="AG233" s="8">
        <v>42850</v>
      </c>
      <c r="AH233" s="6">
        <v>119.4</v>
      </c>
      <c r="AI233" s="1">
        <v>122.5</v>
      </c>
      <c r="AJ233" s="1">
        <f>AH233-AI233</f>
        <v>-3.0999999999999943</v>
      </c>
      <c r="AK233" s="2">
        <v>43840</v>
      </c>
      <c r="AL233" s="1">
        <v>0.10604453870626</v>
      </c>
      <c r="AM233" s="1">
        <v>0.3</v>
      </c>
      <c r="AN233" s="4">
        <f>AL233-AM233</f>
        <v>-0.19395546129373997</v>
      </c>
      <c r="AO233" s="2">
        <v>42839</v>
      </c>
      <c r="AP233" s="5">
        <v>-0.28798639999999998</v>
      </c>
      <c r="AQ233" s="1">
        <v>0</v>
      </c>
      <c r="AR233" s="4">
        <f>AP233-AQ233</f>
        <v>-0.28798639999999998</v>
      </c>
      <c r="AS233" s="2">
        <v>42829</v>
      </c>
      <c r="AT233" s="5">
        <v>-43.557000000000002</v>
      </c>
      <c r="AU233" s="1">
        <v>-44.8</v>
      </c>
      <c r="AV233" s="4">
        <f>AT233-AU233</f>
        <v>1.242999999999995</v>
      </c>
      <c r="AW233" s="9">
        <v>42843</v>
      </c>
      <c r="AX233" s="4">
        <v>0.54872082656809495</v>
      </c>
      <c r="AY233" s="6">
        <v>0.5</v>
      </c>
      <c r="AZ233" s="4">
        <f>AX233-AY233</f>
        <v>4.8720826568094955E-2</v>
      </c>
    </row>
    <row r="234" spans="1:52" s="1" customFormat="1" x14ac:dyDescent="0.2">
      <c r="A234" s="2">
        <v>42860</v>
      </c>
      <c r="B234" s="1">
        <v>211</v>
      </c>
      <c r="C234" s="1">
        <v>185</v>
      </c>
      <c r="D234" s="1">
        <f>B234-C234</f>
        <v>26</v>
      </c>
      <c r="E234" s="2">
        <v>42860</v>
      </c>
      <c r="F234" s="1">
        <v>4.4000000000000004</v>
      </c>
      <c r="G234" s="1">
        <v>4.5999999999999996</v>
      </c>
      <c r="H234" s="1">
        <f>F234-G234</f>
        <v>-0.19999999999999929</v>
      </c>
      <c r="I234" s="2">
        <v>42867</v>
      </c>
      <c r="J234" s="1">
        <v>7.1316729948644797E-2</v>
      </c>
      <c r="K234" s="1">
        <v>0.2</v>
      </c>
      <c r="L234" s="4">
        <f>J234-K234</f>
        <v>-0.12868327005135521</v>
      </c>
      <c r="P234" s="4"/>
      <c r="Q234" s="2">
        <v>44120</v>
      </c>
      <c r="R234" s="4">
        <v>1.90675332434102</v>
      </c>
      <c r="S234" s="1">
        <v>0.7</v>
      </c>
      <c r="T234" s="4">
        <f>R234-S234</f>
        <v>1.20675332434102</v>
      </c>
      <c r="U234" s="2">
        <v>42887</v>
      </c>
      <c r="V234" s="1" t="s">
        <v>52</v>
      </c>
      <c r="W234" s="1" t="s">
        <v>52</v>
      </c>
      <c r="X234" s="1">
        <v>0.3</v>
      </c>
      <c r="Y234" s="2">
        <v>43455</v>
      </c>
      <c r="Z234" s="5">
        <v>0.75841873000000004</v>
      </c>
      <c r="AA234" s="1">
        <v>1.6</v>
      </c>
      <c r="AB234" s="4">
        <f>Z234-AA234</f>
        <v>-0.84158127000000005</v>
      </c>
      <c r="AC234" s="2">
        <v>43432</v>
      </c>
      <c r="AD234" s="5">
        <v>0.54400000000000004</v>
      </c>
      <c r="AE234" s="6">
        <v>0.57499999999999996</v>
      </c>
      <c r="AF234" s="7">
        <f>AD234-AE234</f>
        <v>-3.0999999999999917E-2</v>
      </c>
      <c r="AG234" s="8">
        <v>42885</v>
      </c>
      <c r="AH234" s="6">
        <v>117.6</v>
      </c>
      <c r="AI234" s="1">
        <v>119.7</v>
      </c>
      <c r="AJ234" s="1">
        <f>AH234-AI234</f>
        <v>-2.1000000000000085</v>
      </c>
      <c r="AK234" s="2">
        <v>43868</v>
      </c>
      <c r="AL234" s="1">
        <v>0.246739513570674</v>
      </c>
      <c r="AM234" s="1">
        <v>0.3</v>
      </c>
      <c r="AN234" s="4">
        <f>AL234-AM234</f>
        <v>-5.3260486429325987E-2</v>
      </c>
      <c r="AO234" s="2">
        <v>42867</v>
      </c>
      <c r="AP234" s="5">
        <v>0.16656273999999999</v>
      </c>
      <c r="AQ234" s="1">
        <v>0.2</v>
      </c>
      <c r="AR234" s="4">
        <f>AP234-AQ234</f>
        <v>-3.3437260000000024E-2</v>
      </c>
      <c r="AS234" s="2">
        <v>42859</v>
      </c>
      <c r="AT234" s="5">
        <v>-43.706000000000003</v>
      </c>
      <c r="AU234" s="1">
        <v>-44.5</v>
      </c>
      <c r="AV234" s="4">
        <f>AT234-AU234</f>
        <v>0.79399999999999693</v>
      </c>
      <c r="AW234" s="9">
        <v>42871</v>
      </c>
      <c r="AX234" s="4">
        <v>0.98231053346973496</v>
      </c>
      <c r="AY234" s="6">
        <v>0.4</v>
      </c>
      <c r="AZ234" s="4">
        <f>AX234-AY234</f>
        <v>0.58231053346973494</v>
      </c>
    </row>
    <row r="235" spans="1:52" s="1" customFormat="1" x14ac:dyDescent="0.2">
      <c r="A235" s="2">
        <v>42888</v>
      </c>
      <c r="B235" s="1">
        <v>138</v>
      </c>
      <c r="C235" s="1">
        <v>185</v>
      </c>
      <c r="D235" s="1">
        <f>B235-C235</f>
        <v>-47</v>
      </c>
      <c r="E235" s="2">
        <v>42888</v>
      </c>
      <c r="F235" s="1">
        <v>4.3</v>
      </c>
      <c r="G235" s="1">
        <v>4.4000000000000004</v>
      </c>
      <c r="H235" s="1">
        <f>F235-G235</f>
        <v>-0.10000000000000053</v>
      </c>
      <c r="I235" s="2">
        <v>42900</v>
      </c>
      <c r="J235" s="1">
        <v>6.2506967337127822E-2</v>
      </c>
      <c r="K235" s="1">
        <v>0.2</v>
      </c>
      <c r="L235" s="4">
        <f>J235-K235</f>
        <v>-0.13749303266287219</v>
      </c>
      <c r="P235" s="4"/>
      <c r="Q235" s="2">
        <v>44152</v>
      </c>
      <c r="R235" s="4">
        <v>0.252747611127417</v>
      </c>
      <c r="S235" s="1">
        <v>0.5</v>
      </c>
      <c r="T235" s="4">
        <f>R235-S235</f>
        <v>-0.247252388872583</v>
      </c>
      <c r="U235" s="2">
        <v>42919</v>
      </c>
      <c r="V235" s="1" t="s">
        <v>52</v>
      </c>
      <c r="W235" s="1" t="s">
        <v>52</v>
      </c>
      <c r="X235" s="1">
        <v>2.6</v>
      </c>
      <c r="Y235" s="2">
        <v>43517</v>
      </c>
      <c r="Z235" s="5">
        <v>1.18264134</v>
      </c>
      <c r="AA235" s="1">
        <v>1.5</v>
      </c>
      <c r="AB235" s="4">
        <f>Z235-AA235</f>
        <v>-0.31735866000000001</v>
      </c>
      <c r="AC235" s="2">
        <v>43496</v>
      </c>
      <c r="AD235" s="5">
        <v>0.65700000000000003</v>
      </c>
      <c r="AE235" s="6">
        <v>0.56000000000000005</v>
      </c>
      <c r="AF235" s="7">
        <f>AD235-AE235</f>
        <v>9.6999999999999975E-2</v>
      </c>
      <c r="AG235" s="8">
        <v>42913</v>
      </c>
      <c r="AH235" s="6">
        <v>117.3</v>
      </c>
      <c r="AI235" s="1">
        <v>116</v>
      </c>
      <c r="AJ235" s="1">
        <f>AH235-AI235</f>
        <v>1.2999999999999972</v>
      </c>
      <c r="AK235" s="2">
        <v>43896</v>
      </c>
      <c r="AL235" s="1">
        <v>0.31656700668308002</v>
      </c>
      <c r="AM235" s="1">
        <v>0.3</v>
      </c>
      <c r="AN235" s="4">
        <f>AL235-AM235</f>
        <v>1.6567006683080032E-2</v>
      </c>
      <c r="AO235" s="2">
        <v>42900</v>
      </c>
      <c r="AP235" s="5">
        <v>-0.12778610000000001</v>
      </c>
      <c r="AQ235" s="1">
        <v>0</v>
      </c>
      <c r="AR235" s="4">
        <f>AP235-AQ235</f>
        <v>-0.12778610000000001</v>
      </c>
      <c r="AS235" s="2">
        <v>42888</v>
      </c>
      <c r="AT235" s="5">
        <v>-47.616999999999997</v>
      </c>
      <c r="AU235" s="1">
        <v>-46.1</v>
      </c>
      <c r="AV235" s="4">
        <f>AT235-AU235</f>
        <v>-1.5169999999999959</v>
      </c>
      <c r="AW235" s="9">
        <v>42901</v>
      </c>
      <c r="AX235" s="4">
        <v>-4.28437184919493E-3</v>
      </c>
      <c r="AY235" s="6">
        <v>0.2</v>
      </c>
      <c r="AZ235" s="4">
        <f>AX235-AY235</f>
        <v>-0.20428437184919493</v>
      </c>
    </row>
    <row r="236" spans="1:52" s="1" customFormat="1" x14ac:dyDescent="0.2">
      <c r="A236" s="2">
        <v>42923</v>
      </c>
      <c r="B236" s="1">
        <v>222</v>
      </c>
      <c r="C236" s="1">
        <v>179</v>
      </c>
      <c r="D236" s="1">
        <f>B236-C236</f>
        <v>43</v>
      </c>
      <c r="E236" s="2">
        <v>42923</v>
      </c>
      <c r="F236" s="1">
        <v>4.4000000000000004</v>
      </c>
      <c r="G236" s="1">
        <v>4.3</v>
      </c>
      <c r="H236" s="1">
        <f>F236-G236</f>
        <v>0.10000000000000053</v>
      </c>
      <c r="I236" s="2">
        <v>42930</v>
      </c>
      <c r="J236" s="1">
        <v>0.11856968356218414</v>
      </c>
      <c r="K236" s="1">
        <v>0.2</v>
      </c>
      <c r="L236" s="4">
        <f>J236-K236</f>
        <v>-8.1430316437815869E-2</v>
      </c>
      <c r="P236" s="4"/>
      <c r="Q236" s="2">
        <v>44181</v>
      </c>
      <c r="R236" s="4">
        <v>-1.0823842862417701</v>
      </c>
      <c r="S236" s="1">
        <v>-0.3</v>
      </c>
      <c r="T236" s="4">
        <f>R236-S236</f>
        <v>-0.78238428624177003</v>
      </c>
      <c r="U236" s="2">
        <v>42948</v>
      </c>
      <c r="V236" s="1" t="s">
        <v>52</v>
      </c>
      <c r="W236" s="1" t="s">
        <v>52</v>
      </c>
      <c r="X236" s="1">
        <v>-0.2</v>
      </c>
      <c r="Y236" s="2">
        <v>43537</v>
      </c>
      <c r="Z236" s="5">
        <v>0.35065511999999999</v>
      </c>
      <c r="AA236" s="1">
        <v>-0.5</v>
      </c>
      <c r="AB236" s="4">
        <f>Z236-AA236</f>
        <v>0.85065511999999999</v>
      </c>
      <c r="AC236" s="2">
        <v>43529</v>
      </c>
      <c r="AD236" s="5">
        <v>0.621</v>
      </c>
      <c r="AE236" s="6">
        <v>0.6</v>
      </c>
      <c r="AF236" s="7">
        <f>AD236-AE236</f>
        <v>2.1000000000000019E-2</v>
      </c>
      <c r="AG236" s="8">
        <v>42941</v>
      </c>
      <c r="AH236" s="6">
        <v>120</v>
      </c>
      <c r="AI236" s="1">
        <v>116.5</v>
      </c>
      <c r="AJ236" s="1">
        <f>AH236-AI236</f>
        <v>3.5</v>
      </c>
      <c r="AK236" s="2">
        <v>43924</v>
      </c>
      <c r="AL236" s="1">
        <v>0.38582953349701599</v>
      </c>
      <c r="AM236" s="1">
        <v>0.2</v>
      </c>
      <c r="AN236" s="4">
        <f>AL236-AM236</f>
        <v>0.18582953349701598</v>
      </c>
      <c r="AO236" s="2">
        <v>42930</v>
      </c>
      <c r="AP236" s="5">
        <v>-2.2965300000000001E-2</v>
      </c>
      <c r="AQ236" s="1">
        <v>0.1</v>
      </c>
      <c r="AR236" s="4">
        <f>AP236-AQ236</f>
        <v>-0.1229653</v>
      </c>
      <c r="AS236" s="2">
        <v>42922</v>
      </c>
      <c r="AT236" s="5">
        <v>-46.506999999999998</v>
      </c>
      <c r="AU236" s="1">
        <v>-46.2</v>
      </c>
      <c r="AV236" s="4">
        <f>AT236-AU236</f>
        <v>-0.30699999999999505</v>
      </c>
      <c r="AW236" s="9">
        <v>42930</v>
      </c>
      <c r="AX236" s="4">
        <v>0.386712220621651</v>
      </c>
      <c r="AY236" s="6">
        <v>0.3</v>
      </c>
      <c r="AZ236" s="4">
        <f>AX236-AY236</f>
        <v>8.6712220621651015E-2</v>
      </c>
    </row>
    <row r="237" spans="1:52" s="1" customFormat="1" x14ac:dyDescent="0.2">
      <c r="A237" s="2">
        <v>42951</v>
      </c>
      <c r="B237" s="1">
        <v>209</v>
      </c>
      <c r="C237" s="1">
        <v>183</v>
      </c>
      <c r="D237" s="1">
        <f>B237-C237</f>
        <v>26</v>
      </c>
      <c r="E237" s="2">
        <v>42951</v>
      </c>
      <c r="F237" s="1">
        <v>4.3</v>
      </c>
      <c r="G237" s="1">
        <v>4.3</v>
      </c>
      <c r="H237" s="1">
        <f>F237-G237</f>
        <v>0</v>
      </c>
      <c r="I237" s="2">
        <v>42958</v>
      </c>
      <c r="J237" s="1">
        <v>0.11405771240764215</v>
      </c>
      <c r="K237" s="1">
        <v>0.2</v>
      </c>
      <c r="L237" s="4">
        <f>J237-K237</f>
        <v>-8.5942287592357863E-2</v>
      </c>
      <c r="P237" s="4"/>
      <c r="Q237" s="2">
        <v>44211</v>
      </c>
      <c r="R237" s="4">
        <v>-0.68412036552517996</v>
      </c>
      <c r="S237" s="1">
        <v>0</v>
      </c>
      <c r="T237" s="4">
        <f>R237-S237</f>
        <v>-0.68412036552517996</v>
      </c>
      <c r="U237" s="2">
        <v>42979</v>
      </c>
      <c r="V237" s="1" t="s">
        <v>52</v>
      </c>
      <c r="W237" s="1" t="s">
        <v>52</v>
      </c>
      <c r="X237" s="1">
        <v>2.2999999999999998</v>
      </c>
      <c r="Y237" s="2">
        <v>43557</v>
      </c>
      <c r="Z237" s="5">
        <v>-1.6346014</v>
      </c>
      <c r="AA237" s="1">
        <v>-1.8</v>
      </c>
      <c r="AB237" s="4">
        <f>Z237-AA237</f>
        <v>0.16539860000000006</v>
      </c>
      <c r="AC237" s="2">
        <v>43538</v>
      </c>
      <c r="AD237" s="5">
        <v>0.60699999999999998</v>
      </c>
      <c r="AE237" s="6">
        <v>0.62</v>
      </c>
      <c r="AF237" s="7">
        <f>AD237-AE237</f>
        <v>-1.3000000000000012E-2</v>
      </c>
      <c r="AG237" s="8">
        <v>42976</v>
      </c>
      <c r="AH237" s="6">
        <v>120.4</v>
      </c>
      <c r="AI237" s="1">
        <v>120.3</v>
      </c>
      <c r="AJ237" s="1">
        <f>AH237-AI237</f>
        <v>0.10000000000000853</v>
      </c>
      <c r="AK237" s="2">
        <v>43959</v>
      </c>
      <c r="AL237" s="1">
        <v>4.6738751307987396</v>
      </c>
      <c r="AM237" s="1">
        <v>0.4</v>
      </c>
      <c r="AN237" s="4">
        <f>AL237-AM237</f>
        <v>4.2738751307987393</v>
      </c>
      <c r="AO237" s="2">
        <v>42958</v>
      </c>
      <c r="AP237" s="5">
        <v>0.10582879000000001</v>
      </c>
      <c r="AQ237" s="1">
        <v>0.2</v>
      </c>
      <c r="AR237" s="4">
        <f>AP237-AQ237</f>
        <v>-9.4171210000000005E-2</v>
      </c>
      <c r="AS237" s="2">
        <v>42951</v>
      </c>
      <c r="AT237" s="5">
        <v>-43.642000000000003</v>
      </c>
      <c r="AU237" s="1">
        <v>-45</v>
      </c>
      <c r="AV237" s="4">
        <f>AT237-AU237</f>
        <v>1.357999999999997</v>
      </c>
      <c r="AW237" s="9">
        <v>42964</v>
      </c>
      <c r="AX237" s="4">
        <v>0.19150009356527301</v>
      </c>
      <c r="AY237" s="6">
        <v>0.3</v>
      </c>
      <c r="AZ237" s="4">
        <f>AX237-AY237</f>
        <v>-0.10849990643472698</v>
      </c>
    </row>
    <row r="238" spans="1:52" s="1" customFormat="1" x14ac:dyDescent="0.2">
      <c r="A238" s="2">
        <v>42979</v>
      </c>
      <c r="B238" s="1">
        <v>156</v>
      </c>
      <c r="C238" s="1">
        <v>180</v>
      </c>
      <c r="D238" s="1">
        <f>B238-C238</f>
        <v>-24</v>
      </c>
      <c r="E238" s="2">
        <v>42979</v>
      </c>
      <c r="F238" s="1">
        <v>4.4000000000000004</v>
      </c>
      <c r="G238" s="1">
        <v>4.3</v>
      </c>
      <c r="H238" s="1">
        <f>F238-G238</f>
        <v>0.10000000000000053</v>
      </c>
      <c r="I238" s="2">
        <v>42992</v>
      </c>
      <c r="J238" s="1">
        <v>0.24849750311614471</v>
      </c>
      <c r="K238" s="1">
        <v>0.2</v>
      </c>
      <c r="L238" s="4">
        <f>J238-K238</f>
        <v>4.8497503116144702E-2</v>
      </c>
      <c r="P238" s="4"/>
      <c r="Q238" s="2">
        <v>44244</v>
      </c>
      <c r="R238" s="4">
        <v>5.2893434876869199</v>
      </c>
      <c r="S238" s="1">
        <v>1.1000000000000001</v>
      </c>
      <c r="T238" s="4">
        <f>R238-S238</f>
        <v>4.1893434876869193</v>
      </c>
      <c r="U238" s="2">
        <v>43010</v>
      </c>
      <c r="V238" s="1" t="s">
        <v>52</v>
      </c>
      <c r="W238" s="1" t="s">
        <v>52</v>
      </c>
      <c r="X238" s="1">
        <v>2.8</v>
      </c>
      <c r="Y238" s="2">
        <v>43580</v>
      </c>
      <c r="Z238" s="5">
        <v>2.6879093699999999</v>
      </c>
      <c r="AA238" s="1">
        <v>0.8</v>
      </c>
      <c r="AB238" s="4">
        <f>Z238-AA238</f>
        <v>1.8879093699999998</v>
      </c>
      <c r="AC238" s="2">
        <v>43553</v>
      </c>
      <c r="AD238" s="5">
        <v>0.66700000000000004</v>
      </c>
      <c r="AE238" s="6">
        <v>0.62</v>
      </c>
      <c r="AF238" s="7">
        <f>AD238-AE238</f>
        <v>4.7000000000000042E-2</v>
      </c>
      <c r="AG238" s="8">
        <v>43004</v>
      </c>
      <c r="AH238" s="6">
        <v>120.6</v>
      </c>
      <c r="AI238" s="1">
        <v>120</v>
      </c>
      <c r="AJ238" s="1">
        <f>AH238-AI238</f>
        <v>0.59999999999999432</v>
      </c>
      <c r="AK238" s="2">
        <v>43987</v>
      </c>
      <c r="AL238" s="1">
        <v>-0.96537949400798595</v>
      </c>
      <c r="AM238" s="1">
        <v>1</v>
      </c>
      <c r="AN238" s="4">
        <f>AL238-AM238</f>
        <v>-1.9653794940079861</v>
      </c>
      <c r="AO238" s="2">
        <v>42992</v>
      </c>
      <c r="AP238" s="5">
        <v>0.40237985999999998</v>
      </c>
      <c r="AQ238" s="1">
        <v>0.3</v>
      </c>
      <c r="AR238" s="4">
        <f>AP238-AQ238</f>
        <v>0.10237985999999999</v>
      </c>
      <c r="AS238" s="2">
        <v>42984</v>
      </c>
      <c r="AT238" s="5">
        <v>-43.689</v>
      </c>
      <c r="AU238" s="1">
        <v>-44.6</v>
      </c>
      <c r="AV238" s="4">
        <f>AT238-AU238</f>
        <v>0.91100000000000136</v>
      </c>
      <c r="AW238" s="9">
        <v>42993</v>
      </c>
      <c r="AX238" s="4">
        <v>-0.89848857871141197</v>
      </c>
      <c r="AY238" s="6">
        <v>0.1</v>
      </c>
      <c r="AZ238" s="4">
        <f>AX238-AY238</f>
        <v>-0.99848857871141194</v>
      </c>
    </row>
    <row r="239" spans="1:52" s="1" customFormat="1" x14ac:dyDescent="0.2">
      <c r="A239" s="2">
        <v>43014</v>
      </c>
      <c r="B239" s="1">
        <v>-33</v>
      </c>
      <c r="C239" s="1">
        <v>90</v>
      </c>
      <c r="D239" s="1">
        <f>B239-C239</f>
        <v>-123</v>
      </c>
      <c r="E239" s="2">
        <v>43014</v>
      </c>
      <c r="F239" s="1">
        <v>4.2</v>
      </c>
      <c r="G239" s="1">
        <v>4.4000000000000004</v>
      </c>
      <c r="H239" s="1">
        <f>F239-G239</f>
        <v>-0.20000000000000018</v>
      </c>
      <c r="I239" s="2">
        <v>43021</v>
      </c>
      <c r="J239" s="1">
        <v>0.1267125999841695</v>
      </c>
      <c r="K239" s="1">
        <v>0.2</v>
      </c>
      <c r="L239" s="4">
        <f>J239-K239</f>
        <v>-7.3287400015830506E-2</v>
      </c>
      <c r="P239" s="4"/>
      <c r="Q239" s="2">
        <v>44271</v>
      </c>
      <c r="R239" s="4">
        <v>-3.0111047221402001</v>
      </c>
      <c r="S239" s="1">
        <v>-0.5</v>
      </c>
      <c r="T239" s="4">
        <f>R239-S239</f>
        <v>-2.5111047221402001</v>
      </c>
      <c r="U239" s="2">
        <v>43040</v>
      </c>
      <c r="V239" s="1" t="s">
        <v>52</v>
      </c>
      <c r="W239" s="1" t="s">
        <v>52</v>
      </c>
      <c r="X239" s="1">
        <v>-0.8</v>
      </c>
      <c r="Y239" s="2">
        <v>43609</v>
      </c>
      <c r="Z239" s="5">
        <v>-2.1149738999999999</v>
      </c>
      <c r="AA239" s="1">
        <v>-2</v>
      </c>
      <c r="AB239" s="4">
        <f>Z239-AA239</f>
        <v>-0.11497389999999985</v>
      </c>
      <c r="AC239" s="2">
        <v>43578</v>
      </c>
      <c r="AD239" s="5">
        <v>0.69199999999999995</v>
      </c>
      <c r="AE239" s="6">
        <v>0.65</v>
      </c>
      <c r="AF239" s="7">
        <f>AD239-AE239</f>
        <v>4.1999999999999926E-2</v>
      </c>
      <c r="AG239" s="8">
        <v>43039</v>
      </c>
      <c r="AH239" s="6">
        <v>126.2</v>
      </c>
      <c r="AI239" s="1">
        <v>121</v>
      </c>
      <c r="AJ239" s="1">
        <f>AH239-AI239</f>
        <v>5.2000000000000028</v>
      </c>
      <c r="AK239" s="2">
        <v>44014</v>
      </c>
      <c r="AL239" s="1">
        <v>-1.17765814266486</v>
      </c>
      <c r="AM239" s="1">
        <v>-0.7</v>
      </c>
      <c r="AN239" s="4">
        <f>AL239-AM239</f>
        <v>-0.47765814266486006</v>
      </c>
      <c r="AO239" s="2">
        <v>43021</v>
      </c>
      <c r="AP239" s="5">
        <v>0.54809615</v>
      </c>
      <c r="AQ239" s="1">
        <v>0.6</v>
      </c>
      <c r="AR239" s="4">
        <f>AP239-AQ239</f>
        <v>-5.1903849999999974E-2</v>
      </c>
      <c r="AS239" s="2">
        <v>43013</v>
      </c>
      <c r="AT239" s="5">
        <v>-42.395000000000003</v>
      </c>
      <c r="AU239" s="1">
        <v>-42.7</v>
      </c>
      <c r="AV239" s="4">
        <f>AT239-AU239</f>
        <v>0.30499999999999972</v>
      </c>
      <c r="AW239" s="9">
        <v>43025</v>
      </c>
      <c r="AX239" s="4">
        <v>0.28407048858399397</v>
      </c>
      <c r="AY239" s="6">
        <v>0.3</v>
      </c>
      <c r="AZ239" s="4">
        <f>AX239-AY239</f>
        <v>-1.5929511416006015E-2</v>
      </c>
    </row>
    <row r="240" spans="1:52" s="1" customFormat="1" x14ac:dyDescent="0.2">
      <c r="A240" s="2">
        <v>43042</v>
      </c>
      <c r="B240" s="1">
        <v>261</v>
      </c>
      <c r="C240" s="1">
        <v>310</v>
      </c>
      <c r="D240" s="1">
        <f>B240-C240</f>
        <v>-49</v>
      </c>
      <c r="E240" s="2">
        <v>43042</v>
      </c>
      <c r="F240" s="1">
        <v>4.0999999999999996</v>
      </c>
      <c r="G240" s="1">
        <v>4.2</v>
      </c>
      <c r="H240" s="1">
        <f>F240-G240</f>
        <v>-0.10000000000000053</v>
      </c>
      <c r="I240" s="2">
        <v>43054</v>
      </c>
      <c r="J240" s="1">
        <v>0.22463023016688427</v>
      </c>
      <c r="K240" s="1">
        <v>0.2</v>
      </c>
      <c r="L240" s="4">
        <f>J240-K240</f>
        <v>2.4630230166884259E-2</v>
      </c>
      <c r="P240" s="4"/>
      <c r="Q240" s="2">
        <v>44301</v>
      </c>
      <c r="R240" s="4">
        <v>9.8223804531577894</v>
      </c>
      <c r="S240" s="1">
        <v>5.7</v>
      </c>
      <c r="T240" s="4">
        <f>R240-S240</f>
        <v>4.1223804531577892</v>
      </c>
      <c r="U240" s="2">
        <v>43070</v>
      </c>
      <c r="V240" s="1" t="s">
        <v>52</v>
      </c>
      <c r="W240" s="1" t="s">
        <v>52</v>
      </c>
      <c r="X240" s="1">
        <v>-0.2</v>
      </c>
      <c r="Y240" s="2">
        <v>43642</v>
      </c>
      <c r="Z240" s="5">
        <v>-1.3486343000000001</v>
      </c>
      <c r="AA240" s="1">
        <v>-0.1</v>
      </c>
      <c r="AB240" s="4">
        <f>Z240-AA240</f>
        <v>-1.2486343</v>
      </c>
      <c r="AC240" s="2">
        <v>43608</v>
      </c>
      <c r="AD240" s="5">
        <v>0.67300000000000004</v>
      </c>
      <c r="AE240" s="6">
        <v>0.67500000000000004</v>
      </c>
      <c r="AF240" s="7">
        <f>AD240-AE240</f>
        <v>-2.0000000000000018E-3</v>
      </c>
      <c r="AG240" s="8">
        <v>43067</v>
      </c>
      <c r="AH240" s="6">
        <v>128.6</v>
      </c>
      <c r="AI240" s="1">
        <v>124</v>
      </c>
      <c r="AJ240" s="1">
        <f>AH240-AI240</f>
        <v>4.5999999999999943</v>
      </c>
      <c r="AK240" s="2">
        <v>44050</v>
      </c>
      <c r="AL240" s="1">
        <v>0.23874488403819999</v>
      </c>
      <c r="AM240" s="1">
        <v>-0.5</v>
      </c>
      <c r="AN240" s="4">
        <f>AL240-AM240</f>
        <v>0.73874488403820004</v>
      </c>
      <c r="AO240" s="2">
        <v>43054</v>
      </c>
      <c r="AP240" s="5">
        <v>0.10796638</v>
      </c>
      <c r="AQ240" s="1">
        <v>0.1</v>
      </c>
      <c r="AR240" s="4">
        <f>AP240-AQ240</f>
        <v>7.9663799999999951E-3</v>
      </c>
      <c r="AS240" s="2">
        <v>43042</v>
      </c>
      <c r="AT240" s="5">
        <v>-43.494999999999997</v>
      </c>
      <c r="AU240" s="1">
        <v>-43.2</v>
      </c>
      <c r="AV240" s="4">
        <f>AT240-AU240</f>
        <v>-0.2949999999999946</v>
      </c>
      <c r="AW240" s="9">
        <v>43055</v>
      </c>
      <c r="AX240" s="4">
        <v>0.94481015354710096</v>
      </c>
      <c r="AY240" s="6">
        <v>0.5</v>
      </c>
      <c r="AZ240" s="4">
        <f>AX240-AY240</f>
        <v>0.44481015354710096</v>
      </c>
    </row>
    <row r="241" spans="1:52" s="1" customFormat="1" x14ac:dyDescent="0.2">
      <c r="A241" s="2">
        <v>43077</v>
      </c>
      <c r="B241" s="1">
        <v>228</v>
      </c>
      <c r="C241" s="1">
        <v>200</v>
      </c>
      <c r="D241" s="1">
        <f>B241-C241</f>
        <v>28</v>
      </c>
      <c r="E241" s="2">
        <v>43077</v>
      </c>
      <c r="F241" s="1">
        <v>4.0999999999999996</v>
      </c>
      <c r="G241" s="1">
        <v>4.0999999999999996</v>
      </c>
      <c r="H241" s="1">
        <f>F241-G241</f>
        <v>0</v>
      </c>
      <c r="I241" s="2">
        <v>43082</v>
      </c>
      <c r="J241" s="1">
        <v>0.1167984595230173</v>
      </c>
      <c r="K241" s="1">
        <v>0.2</v>
      </c>
      <c r="L241" s="4">
        <f>J241-K241</f>
        <v>-8.3201540476982708E-2</v>
      </c>
      <c r="P241" s="4"/>
      <c r="Q241" s="2">
        <v>44330</v>
      </c>
      <c r="R241" s="4">
        <v>2.19430223609078E-2</v>
      </c>
      <c r="S241" s="1">
        <v>1</v>
      </c>
      <c r="T241" s="4">
        <f>R241-S241</f>
        <v>-0.97805697763909216</v>
      </c>
      <c r="U241" s="2">
        <v>43103</v>
      </c>
      <c r="V241" s="1" t="s">
        <v>52</v>
      </c>
      <c r="W241" s="1" t="s">
        <v>52</v>
      </c>
      <c r="X241" s="1">
        <v>1.6</v>
      </c>
      <c r="Y241" s="2">
        <v>43671</v>
      </c>
      <c r="Z241" s="5">
        <v>2.0458288900000001</v>
      </c>
      <c r="AA241" s="1">
        <v>0.7</v>
      </c>
      <c r="AB241" s="4">
        <f>Z241-AA241</f>
        <v>1.3458288900000002</v>
      </c>
      <c r="AC241" s="2">
        <v>43641</v>
      </c>
      <c r="AD241" s="5">
        <v>0.626</v>
      </c>
      <c r="AE241" s="6">
        <v>0.68</v>
      </c>
      <c r="AF241" s="7">
        <f>AD241-AE241</f>
        <v>-5.4000000000000048E-2</v>
      </c>
      <c r="AG241" s="8">
        <v>43096</v>
      </c>
      <c r="AH241" s="6">
        <v>123.1</v>
      </c>
      <c r="AI241" s="1">
        <v>128</v>
      </c>
      <c r="AJ241" s="1">
        <f>AH241-AI241</f>
        <v>-4.9000000000000057</v>
      </c>
      <c r="AK241" s="2">
        <v>44078</v>
      </c>
      <c r="AL241" s="1">
        <v>0.374659400544957</v>
      </c>
      <c r="AM241" s="1">
        <v>0</v>
      </c>
      <c r="AN241" s="4">
        <f>AL241-AM241</f>
        <v>0.374659400544957</v>
      </c>
      <c r="AO241" s="2">
        <v>43082</v>
      </c>
      <c r="AP241" s="5">
        <v>0.38639468999999999</v>
      </c>
      <c r="AQ241" s="1">
        <v>0.4</v>
      </c>
      <c r="AR241" s="4">
        <f>AP241-AQ241</f>
        <v>-1.3605310000000037E-2</v>
      </c>
      <c r="AS241" s="2">
        <v>43074</v>
      </c>
      <c r="AT241" s="5">
        <v>-48.731000000000002</v>
      </c>
      <c r="AU241" s="1">
        <v>-47.5</v>
      </c>
      <c r="AV241" s="4">
        <f>AT241-AU241</f>
        <v>-1.2310000000000016</v>
      </c>
      <c r="AW241" s="9">
        <v>43084</v>
      </c>
      <c r="AX241" s="4">
        <v>0.23731687785576899</v>
      </c>
      <c r="AY241" s="6">
        <v>0.3</v>
      </c>
      <c r="AZ241" s="4">
        <f>AX241-AY241</f>
        <v>-6.2683122144230996E-2</v>
      </c>
    </row>
    <row r="242" spans="1:52" s="1" customFormat="1" x14ac:dyDescent="0.2">
      <c r="A242" s="2">
        <v>43105</v>
      </c>
      <c r="B242" s="1">
        <v>148</v>
      </c>
      <c r="C242" s="1">
        <v>190</v>
      </c>
      <c r="D242" s="1">
        <f>B242-C242</f>
        <v>-42</v>
      </c>
      <c r="E242" s="2">
        <v>43105</v>
      </c>
      <c r="F242" s="1">
        <v>4.0999999999999996</v>
      </c>
      <c r="G242" s="1">
        <v>4.0999999999999996</v>
      </c>
      <c r="H242" s="1">
        <f>F242-G242</f>
        <v>0</v>
      </c>
      <c r="I242" s="2">
        <v>43112</v>
      </c>
      <c r="J242" s="1">
        <v>0.27667859563935543</v>
      </c>
      <c r="K242" s="1">
        <v>0.2</v>
      </c>
      <c r="L242" s="4">
        <f>J242-K242</f>
        <v>7.6678595639355418E-2</v>
      </c>
      <c r="P242" s="4"/>
      <c r="Q242" s="2">
        <v>44362</v>
      </c>
      <c r="R242" s="4">
        <v>-1.3463171925850701</v>
      </c>
      <c r="S242" s="1">
        <v>-0.8</v>
      </c>
      <c r="T242" s="4">
        <f>R242-S242</f>
        <v>-0.54631719258507005</v>
      </c>
      <c r="U242" s="2">
        <v>43132</v>
      </c>
      <c r="V242" s="1" t="s">
        <v>52</v>
      </c>
      <c r="W242" s="1" t="s">
        <v>52</v>
      </c>
      <c r="X242" s="1">
        <v>0.3</v>
      </c>
      <c r="Y242" s="2">
        <v>43703</v>
      </c>
      <c r="Z242" s="5">
        <v>2.0505483999999998</v>
      </c>
      <c r="AA242" s="1">
        <v>1.2</v>
      </c>
      <c r="AB242" s="4">
        <f>Z242-AA242</f>
        <v>0.85054839999999987</v>
      </c>
      <c r="AC242" s="2">
        <v>43670</v>
      </c>
      <c r="AD242" s="5">
        <v>0.64600000000000002</v>
      </c>
      <c r="AE242" s="6">
        <v>0.66</v>
      </c>
      <c r="AF242" s="7">
        <f>AD242-AE242</f>
        <v>-1.4000000000000012E-2</v>
      </c>
      <c r="AG242" s="8">
        <v>43130</v>
      </c>
      <c r="AH242" s="6">
        <v>124.3</v>
      </c>
      <c r="AI242" s="1">
        <v>123.1</v>
      </c>
      <c r="AJ242" s="1">
        <f>AH242-AI242</f>
        <v>1.2000000000000028</v>
      </c>
      <c r="AK242" s="2">
        <v>44106</v>
      </c>
      <c r="AL242" s="1">
        <v>6.7911714770796494E-2</v>
      </c>
      <c r="AM242" s="1">
        <v>0.2</v>
      </c>
      <c r="AN242" s="4">
        <f>AL242-AM242</f>
        <v>-0.13208828522920352</v>
      </c>
      <c r="AO242" s="2">
        <v>43112</v>
      </c>
      <c r="AP242" s="5">
        <v>0.14984328999999999</v>
      </c>
      <c r="AQ242" s="1">
        <v>0.2</v>
      </c>
      <c r="AR242" s="4">
        <f>AP242-AQ242</f>
        <v>-5.0156710000000021E-2</v>
      </c>
      <c r="AS242" s="2">
        <v>43105</v>
      </c>
      <c r="AT242" s="5">
        <v>-50.497</v>
      </c>
      <c r="AU242" s="1">
        <v>-49.5</v>
      </c>
      <c r="AV242" s="4">
        <f>AT242-AU242</f>
        <v>-0.99699999999999989</v>
      </c>
      <c r="AW242" s="9">
        <v>43117</v>
      </c>
      <c r="AX242" s="4">
        <v>0.89351434580141398</v>
      </c>
      <c r="AY242" s="6">
        <v>0.4</v>
      </c>
      <c r="AZ242" s="4">
        <f>AX242-AY242</f>
        <v>0.49351434580141396</v>
      </c>
    </row>
    <row r="243" spans="1:52" s="1" customFormat="1" x14ac:dyDescent="0.2">
      <c r="A243" s="2">
        <v>43133</v>
      </c>
      <c r="B243" s="1">
        <v>200</v>
      </c>
      <c r="C243" s="1">
        <v>180</v>
      </c>
      <c r="D243" s="1">
        <f>B243-C243</f>
        <v>20</v>
      </c>
      <c r="E243" s="2">
        <v>43133</v>
      </c>
      <c r="F243" s="1">
        <v>4.0999999999999996</v>
      </c>
      <c r="G243" s="1">
        <v>4.0999999999999996</v>
      </c>
      <c r="H243" s="1">
        <f>F243-G243</f>
        <v>0</v>
      </c>
      <c r="I243" s="2">
        <v>43145</v>
      </c>
      <c r="J243" s="1">
        <v>0.33840881042032595</v>
      </c>
      <c r="K243" s="1">
        <v>0.2</v>
      </c>
      <c r="L243" s="4">
        <f>J243-K243</f>
        <v>0.13840881042032593</v>
      </c>
      <c r="P243" s="4"/>
      <c r="Q243" s="2">
        <v>44393</v>
      </c>
      <c r="R243" s="4">
        <v>0.55054066912861799</v>
      </c>
      <c r="S243" s="1">
        <v>-0.4</v>
      </c>
      <c r="T243" s="4">
        <f>R243-S243</f>
        <v>0.95054066912861801</v>
      </c>
      <c r="U243" s="2">
        <v>43160</v>
      </c>
      <c r="V243" s="1" t="s">
        <v>52</v>
      </c>
      <c r="W243" s="1" t="s">
        <v>52</v>
      </c>
      <c r="X243" s="1">
        <v>2.1</v>
      </c>
      <c r="Y243" s="2">
        <v>43735</v>
      </c>
      <c r="Z243" s="5">
        <v>0.18144323000000001</v>
      </c>
      <c r="AA243" s="1">
        <v>-1</v>
      </c>
      <c r="AB243" s="4">
        <f>Z243-AA243</f>
        <v>1.18144323</v>
      </c>
      <c r="AC243" s="2">
        <v>43700</v>
      </c>
      <c r="AD243" s="5">
        <v>0.63500000000000001</v>
      </c>
      <c r="AE243" s="6">
        <v>0.64900000000000002</v>
      </c>
      <c r="AF243" s="7">
        <f>AD243-AE243</f>
        <v>-1.4000000000000012E-2</v>
      </c>
      <c r="AG243" s="8">
        <v>43158</v>
      </c>
      <c r="AH243" s="6">
        <v>130</v>
      </c>
      <c r="AI243" s="1">
        <v>126.6</v>
      </c>
      <c r="AJ243" s="1">
        <f>AH243-AI243</f>
        <v>3.4000000000000057</v>
      </c>
      <c r="AK243" s="2">
        <v>44141</v>
      </c>
      <c r="AL243" s="1">
        <v>0.13577732518669</v>
      </c>
      <c r="AM243" s="1">
        <v>0.2</v>
      </c>
      <c r="AN243" s="4">
        <f>AL243-AM243</f>
        <v>-6.422267481331001E-2</v>
      </c>
      <c r="AO243" s="2">
        <v>43145</v>
      </c>
      <c r="AP243" s="5">
        <v>0.53850187999999999</v>
      </c>
      <c r="AQ243" s="1">
        <v>0.3</v>
      </c>
      <c r="AR243" s="4">
        <f>AP243-AQ243</f>
        <v>0.23850188</v>
      </c>
      <c r="AS243" s="2">
        <v>43137</v>
      </c>
      <c r="AT243" s="5">
        <v>-53.118000000000002</v>
      </c>
      <c r="AU243" s="1">
        <v>-52</v>
      </c>
      <c r="AV243" s="4">
        <f>AT243-AU243</f>
        <v>-1.1180000000000021</v>
      </c>
      <c r="AW243" s="9">
        <v>43146</v>
      </c>
      <c r="AX243" s="4">
        <v>-5.18178657935899E-2</v>
      </c>
      <c r="AY243" s="6">
        <v>0.2</v>
      </c>
      <c r="AZ243" s="4">
        <f>AX243-AY243</f>
        <v>-0.25181786579358989</v>
      </c>
    </row>
    <row r="244" spans="1:52" s="1" customFormat="1" x14ac:dyDescent="0.2">
      <c r="A244" s="2">
        <v>43168</v>
      </c>
      <c r="B244" s="1">
        <v>313</v>
      </c>
      <c r="C244" s="1">
        <v>200</v>
      </c>
      <c r="D244" s="1">
        <f>B244-C244</f>
        <v>113</v>
      </c>
      <c r="E244" s="2">
        <v>43168</v>
      </c>
      <c r="F244" s="1">
        <v>4.0999999999999996</v>
      </c>
      <c r="G244" s="1">
        <v>4</v>
      </c>
      <c r="H244" s="1">
        <f>F244-G244</f>
        <v>9.9999999999999645E-2</v>
      </c>
      <c r="I244" s="2">
        <v>43172</v>
      </c>
      <c r="J244" s="1">
        <v>0.18175621947063447</v>
      </c>
      <c r="K244" s="1">
        <v>0.2</v>
      </c>
      <c r="L244" s="4">
        <f>J244-K244</f>
        <v>-1.8243780529365539E-2</v>
      </c>
      <c r="P244" s="4"/>
      <c r="Q244" s="2">
        <v>44425</v>
      </c>
      <c r="R244" s="4">
        <v>-1.12240308228661</v>
      </c>
      <c r="S244" s="1">
        <v>-0.3</v>
      </c>
      <c r="T244" s="4">
        <f>R244-S244</f>
        <v>-0.82240308228660997</v>
      </c>
      <c r="U244" s="2">
        <v>43192</v>
      </c>
      <c r="V244" s="1" t="s">
        <v>52</v>
      </c>
      <c r="W244" s="1" t="s">
        <v>52</v>
      </c>
      <c r="X244" s="1">
        <v>-0.7</v>
      </c>
      <c r="Y244" s="2">
        <v>43762</v>
      </c>
      <c r="Z244" s="5">
        <v>-1.1302744</v>
      </c>
      <c r="AA244" s="1">
        <v>-0.8</v>
      </c>
      <c r="AB244" s="4">
        <f>Z244-AA244</f>
        <v>-0.33027439999999997</v>
      </c>
      <c r="AC244" s="2">
        <v>43733</v>
      </c>
      <c r="AD244" s="5">
        <v>0.71299999999999997</v>
      </c>
      <c r="AE244" s="6">
        <v>0.66</v>
      </c>
      <c r="AF244" s="7">
        <f>AD244-AE244</f>
        <v>5.2999999999999936E-2</v>
      </c>
      <c r="AG244" s="8">
        <v>43186</v>
      </c>
      <c r="AH244" s="6">
        <v>127</v>
      </c>
      <c r="AI244" s="1">
        <v>131</v>
      </c>
      <c r="AJ244" s="1">
        <f>AH244-AI244</f>
        <v>-4</v>
      </c>
      <c r="AK244" s="2">
        <v>44169</v>
      </c>
      <c r="AL244" s="1">
        <v>0.30518819938962299</v>
      </c>
      <c r="AM244" s="1">
        <v>0.1</v>
      </c>
      <c r="AN244" s="4">
        <f>AL244-AM244</f>
        <v>0.20518819938962299</v>
      </c>
      <c r="AO244" s="2">
        <v>43172</v>
      </c>
      <c r="AP244" s="5">
        <v>0.15005315999999999</v>
      </c>
      <c r="AQ244" s="1">
        <v>0.2</v>
      </c>
      <c r="AR244" s="4">
        <f>AP244-AQ244</f>
        <v>-4.994684000000002E-2</v>
      </c>
      <c r="AS244" s="2">
        <v>43166</v>
      </c>
      <c r="AT244" s="5">
        <v>-56.600999999999999</v>
      </c>
      <c r="AU244" s="1">
        <v>-55.1</v>
      </c>
      <c r="AV244" s="4">
        <f>AT244-AU244</f>
        <v>-1.5009999999999977</v>
      </c>
      <c r="AW244" s="9">
        <v>43175</v>
      </c>
      <c r="AX244" s="4">
        <v>1.06425798450307</v>
      </c>
      <c r="AY244" s="6">
        <v>0.3</v>
      </c>
      <c r="AZ244" s="4">
        <f>AX244-AY244</f>
        <v>0.76425798450306992</v>
      </c>
    </row>
    <row r="245" spans="1:52" s="1" customFormat="1" x14ac:dyDescent="0.2">
      <c r="A245" s="2">
        <v>43196</v>
      </c>
      <c r="B245" s="1">
        <v>103</v>
      </c>
      <c r="C245" s="1">
        <v>193</v>
      </c>
      <c r="D245" s="1">
        <f>B245-C245</f>
        <v>-90</v>
      </c>
      <c r="E245" s="2">
        <v>43196</v>
      </c>
      <c r="F245" s="1">
        <v>4.0999999999999996</v>
      </c>
      <c r="G245" s="1">
        <v>4</v>
      </c>
      <c r="H245" s="1">
        <f>F245-G245</f>
        <v>9.9999999999999645E-2</v>
      </c>
      <c r="I245" s="2">
        <v>43201</v>
      </c>
      <c r="J245" s="1">
        <v>0.17556138587922779</v>
      </c>
      <c r="K245" s="1">
        <v>0.2</v>
      </c>
      <c r="L245" s="4">
        <f>J245-K245</f>
        <v>-2.4438614120772223E-2</v>
      </c>
      <c r="P245" s="4"/>
      <c r="Q245" s="2">
        <v>44455</v>
      </c>
      <c r="R245" s="4">
        <v>0.710224266782568</v>
      </c>
      <c r="S245" s="1">
        <v>-0.8</v>
      </c>
      <c r="T245" s="4">
        <f>R245-S245</f>
        <v>1.510224266782568</v>
      </c>
      <c r="U245" s="2">
        <v>43221</v>
      </c>
      <c r="V245" s="1" t="s">
        <v>52</v>
      </c>
      <c r="W245" s="1" t="s">
        <v>52</v>
      </c>
      <c r="X245" s="1">
        <v>-1</v>
      </c>
      <c r="Y245" s="2">
        <v>43796</v>
      </c>
      <c r="Z245" s="5">
        <v>0.59895253999999998</v>
      </c>
      <c r="AA245" s="1">
        <v>-0.8</v>
      </c>
      <c r="AB245" s="4">
        <f>Z245-AA245</f>
        <v>1.39895254</v>
      </c>
      <c r="AC245" s="2">
        <v>43762</v>
      </c>
      <c r="AD245" s="5">
        <v>0.70099999999999996</v>
      </c>
      <c r="AE245" s="6">
        <v>0.70099999999999996</v>
      </c>
      <c r="AF245" s="7">
        <f>AD245-AE245</f>
        <v>0</v>
      </c>
      <c r="AG245" s="8">
        <v>43214</v>
      </c>
      <c r="AH245" s="6">
        <v>125.6</v>
      </c>
      <c r="AI245" s="1">
        <v>126</v>
      </c>
      <c r="AJ245" s="1">
        <f>AH245-AI245</f>
        <v>-0.40000000000000568</v>
      </c>
      <c r="AK245" s="2">
        <v>44204</v>
      </c>
      <c r="AL245" s="1">
        <v>0.77755240027045402</v>
      </c>
      <c r="AM245" s="1">
        <v>0.2</v>
      </c>
      <c r="AN245" s="4">
        <f>AL245-AM245</f>
        <v>0.57755240027045396</v>
      </c>
      <c r="AO245" s="2">
        <v>43201</v>
      </c>
      <c r="AP245" s="5">
        <v>-6.2895900000000005E-2</v>
      </c>
      <c r="AQ245" s="1">
        <v>0</v>
      </c>
      <c r="AR245" s="4">
        <f>AP245-AQ245</f>
        <v>-6.2895900000000005E-2</v>
      </c>
      <c r="AS245" s="2">
        <v>43195</v>
      </c>
      <c r="AT245" s="5">
        <v>-57.591000000000001</v>
      </c>
      <c r="AU245" s="1">
        <v>-56.8</v>
      </c>
      <c r="AV245" s="4">
        <f>AT245-AU245</f>
        <v>-0.79100000000000392</v>
      </c>
      <c r="AW245" s="9">
        <v>43207</v>
      </c>
      <c r="AX245" s="4">
        <v>0.51483057206315197</v>
      </c>
      <c r="AY245" s="6">
        <v>0.4</v>
      </c>
      <c r="AZ245" s="4">
        <f>AX245-AY245</f>
        <v>0.11483057206315195</v>
      </c>
    </row>
    <row r="246" spans="1:52" s="1" customFormat="1" x14ac:dyDescent="0.2">
      <c r="A246" s="2">
        <v>43224</v>
      </c>
      <c r="B246" s="1">
        <v>164</v>
      </c>
      <c r="C246" s="1">
        <v>192</v>
      </c>
      <c r="D246" s="1">
        <f>B246-C246</f>
        <v>-28</v>
      </c>
      <c r="E246" s="2">
        <v>43224</v>
      </c>
      <c r="F246" s="1">
        <v>3.9</v>
      </c>
      <c r="G246" s="1">
        <v>4</v>
      </c>
      <c r="H246" s="1">
        <f>F246-G246</f>
        <v>-0.10000000000000009</v>
      </c>
      <c r="I246" s="2">
        <v>43230</v>
      </c>
      <c r="J246" s="1">
        <v>9.7580015612802495E-2</v>
      </c>
      <c r="K246" s="1">
        <v>0.2</v>
      </c>
      <c r="L246" s="4">
        <f>J246-K246</f>
        <v>-0.10241998438719752</v>
      </c>
      <c r="P246" s="4"/>
      <c r="Q246" s="2">
        <v>44484</v>
      </c>
      <c r="R246" s="4">
        <v>0.73544334380285004</v>
      </c>
      <c r="S246" s="1">
        <v>-0.2</v>
      </c>
      <c r="T246" s="4">
        <f>R246-S246</f>
        <v>0.93544334380284999</v>
      </c>
      <c r="U246" s="2">
        <v>43252</v>
      </c>
      <c r="V246" s="1" t="s">
        <v>52</v>
      </c>
      <c r="W246" s="1" t="s">
        <v>52</v>
      </c>
      <c r="X246" s="1">
        <v>0.6</v>
      </c>
      <c r="Y246" s="2">
        <v>43822</v>
      </c>
      <c r="Z246" s="5">
        <v>-2.0207649000000001</v>
      </c>
      <c r="AA246" s="1">
        <v>1.5</v>
      </c>
      <c r="AB246" s="4">
        <f>Z246-AA246</f>
        <v>-3.5207649000000001</v>
      </c>
      <c r="AC246" s="2">
        <v>43795</v>
      </c>
      <c r="AD246" s="5">
        <v>0.73299999999999998</v>
      </c>
      <c r="AE246" s="6">
        <v>0.70899999999999996</v>
      </c>
      <c r="AF246" s="7">
        <f>AD246-AE246</f>
        <v>2.4000000000000021E-2</v>
      </c>
      <c r="AG246" s="8">
        <v>43249</v>
      </c>
      <c r="AH246" s="6">
        <v>128.80000000000001</v>
      </c>
      <c r="AI246" s="1">
        <v>128</v>
      </c>
      <c r="AJ246" s="1">
        <f>AH246-AI246</f>
        <v>0.80000000000001137</v>
      </c>
      <c r="AK246" s="2">
        <v>44232</v>
      </c>
      <c r="AL246" s="1">
        <v>0.20066889632107701</v>
      </c>
      <c r="AM246" s="1">
        <v>0.3</v>
      </c>
      <c r="AN246" s="4">
        <f>AL246-AM246</f>
        <v>-9.9331103678922977E-2</v>
      </c>
      <c r="AO246" s="2">
        <v>43230</v>
      </c>
      <c r="AP246" s="5">
        <v>0.22087532000000001</v>
      </c>
      <c r="AQ246" s="1">
        <v>0.3</v>
      </c>
      <c r="AR246" s="4">
        <f>AP246-AQ246</f>
        <v>-7.9124679999999975E-2</v>
      </c>
      <c r="AS246" s="2">
        <v>43223</v>
      </c>
      <c r="AT246" s="5">
        <v>-48.956000000000003</v>
      </c>
      <c r="AU246" s="1">
        <v>-50</v>
      </c>
      <c r="AV246" s="4">
        <f>AT246-AU246</f>
        <v>1.0439999999999969</v>
      </c>
      <c r="AW246" s="9">
        <v>43236</v>
      </c>
      <c r="AX246" s="4">
        <v>0.71936301081202403</v>
      </c>
      <c r="AY246" s="6">
        <v>0.6</v>
      </c>
      <c r="AZ246" s="4">
        <f>AX246-AY246</f>
        <v>0.11936301081202405</v>
      </c>
    </row>
    <row r="247" spans="1:52" s="1" customFormat="1" x14ac:dyDescent="0.2">
      <c r="A247" s="2">
        <v>43252</v>
      </c>
      <c r="B247" s="1">
        <v>223</v>
      </c>
      <c r="C247" s="1">
        <v>188</v>
      </c>
      <c r="D247" s="1">
        <f>B247-C247</f>
        <v>35</v>
      </c>
      <c r="E247" s="2">
        <v>43252</v>
      </c>
      <c r="F247" s="1">
        <v>3.8</v>
      </c>
      <c r="G247" s="1">
        <v>3.9</v>
      </c>
      <c r="H247" s="1">
        <f>F247-G247</f>
        <v>-0.10000000000000009</v>
      </c>
      <c r="I247" s="2">
        <v>43263</v>
      </c>
      <c r="J247" s="1">
        <v>0.17118346656269112</v>
      </c>
      <c r="K247" s="1">
        <v>0.2</v>
      </c>
      <c r="L247" s="4">
        <f>J247-K247</f>
        <v>-2.8816533437308889E-2</v>
      </c>
      <c r="P247" s="4"/>
      <c r="Q247" s="2">
        <v>44516</v>
      </c>
      <c r="R247" s="4">
        <v>1.6975918513041399</v>
      </c>
      <c r="S247" s="1">
        <v>1.4</v>
      </c>
      <c r="T247" s="4">
        <f>R247-S247</f>
        <v>0.29759185130414001</v>
      </c>
      <c r="U247" s="2">
        <v>43283</v>
      </c>
      <c r="V247" s="1" t="s">
        <v>52</v>
      </c>
      <c r="W247" s="1" t="s">
        <v>52</v>
      </c>
      <c r="X247" s="1">
        <v>1.8</v>
      </c>
      <c r="Y247" s="2">
        <v>43858</v>
      </c>
      <c r="Z247" s="5">
        <v>2.3668935100000001</v>
      </c>
      <c r="AA247" s="1">
        <v>0.4</v>
      </c>
      <c r="AB247" s="4">
        <f>Z247-AA247</f>
        <v>1.9668935100000002</v>
      </c>
      <c r="AC247" s="2">
        <v>43822</v>
      </c>
      <c r="AD247" s="5">
        <v>0.71899999999999997</v>
      </c>
      <c r="AE247" s="6">
        <v>0.73399999999999999</v>
      </c>
      <c r="AF247" s="7">
        <f>AD247-AE247</f>
        <v>-1.5000000000000013E-2</v>
      </c>
      <c r="AG247" s="8">
        <v>43277</v>
      </c>
      <c r="AH247" s="6">
        <v>127.1</v>
      </c>
      <c r="AI247" s="1">
        <v>128</v>
      </c>
      <c r="AJ247" s="1">
        <f>AH247-AI247</f>
        <v>-0.90000000000000568</v>
      </c>
      <c r="AK247" s="2">
        <v>44260</v>
      </c>
      <c r="AL247" s="1">
        <v>0.23380093520374101</v>
      </c>
      <c r="AM247" s="1">
        <v>0.2</v>
      </c>
      <c r="AN247" s="4">
        <f>AL247-AM247</f>
        <v>3.3800935203741E-2</v>
      </c>
      <c r="AO247" s="2">
        <v>43263</v>
      </c>
      <c r="AP247" s="5">
        <v>0.20878914000000001</v>
      </c>
      <c r="AQ247" s="1">
        <v>0.2</v>
      </c>
      <c r="AR247" s="4">
        <f>AP247-AQ247</f>
        <v>8.7891400000000008E-3</v>
      </c>
      <c r="AS247" s="2">
        <v>43257</v>
      </c>
      <c r="AT247" s="5">
        <v>-46.198999999999998</v>
      </c>
      <c r="AU247" s="1">
        <v>-49</v>
      </c>
      <c r="AV247" s="4">
        <f>AT247-AU247</f>
        <v>2.8010000000000019</v>
      </c>
      <c r="AW247" s="9">
        <v>43266</v>
      </c>
      <c r="AX247" s="4">
        <v>-9.2272138562764006E-2</v>
      </c>
      <c r="AY247" s="6">
        <v>0.2</v>
      </c>
      <c r="AZ247" s="4">
        <f>AX247-AY247</f>
        <v>-0.29227213856276402</v>
      </c>
    </row>
    <row r="248" spans="1:52" s="1" customFormat="1" x14ac:dyDescent="0.2">
      <c r="A248" s="2">
        <v>43287</v>
      </c>
      <c r="B248" s="1">
        <v>213</v>
      </c>
      <c r="C248" s="1">
        <v>195</v>
      </c>
      <c r="D248" s="1">
        <f>B248-C248</f>
        <v>18</v>
      </c>
      <c r="E248" s="2">
        <v>43287</v>
      </c>
      <c r="F248" s="1">
        <v>4</v>
      </c>
      <c r="G248" s="1">
        <v>3.8</v>
      </c>
      <c r="H248" s="1">
        <f>F248-G248</f>
        <v>0.20000000000000018</v>
      </c>
      <c r="I248" s="2">
        <v>43293</v>
      </c>
      <c r="J248" s="1">
        <v>0.16193764622074</v>
      </c>
      <c r="K248" s="1">
        <v>0.2</v>
      </c>
      <c r="L248" s="4">
        <f>J248-K248</f>
        <v>-3.8062353779260011E-2</v>
      </c>
      <c r="P248" s="4"/>
      <c r="Q248" s="2">
        <v>44545</v>
      </c>
      <c r="R248" s="4">
        <v>0.25682006925837098</v>
      </c>
      <c r="S248" s="1">
        <v>0.8</v>
      </c>
      <c r="T248" s="4">
        <f>R248-S248</f>
        <v>-0.54317993074162907</v>
      </c>
      <c r="U248" s="2">
        <v>43313</v>
      </c>
      <c r="V248" s="1" t="s">
        <v>52</v>
      </c>
      <c r="W248" s="1" t="s">
        <v>52</v>
      </c>
      <c r="X248" s="1">
        <v>-1.4</v>
      </c>
      <c r="Y248" s="2">
        <v>43888</v>
      </c>
      <c r="Z248" s="5">
        <v>-0.1763747</v>
      </c>
      <c r="AA248" s="1">
        <v>-1.5</v>
      </c>
      <c r="AB248" s="4">
        <f>Z248-AA248</f>
        <v>1.3236253</v>
      </c>
      <c r="AC248" s="2">
        <v>43857</v>
      </c>
      <c r="AD248" s="5">
        <v>0.69399999999999995</v>
      </c>
      <c r="AE248" s="6">
        <v>0.73</v>
      </c>
      <c r="AF248" s="7">
        <f>AD248-AE248</f>
        <v>-3.6000000000000032E-2</v>
      </c>
      <c r="AG248" s="8">
        <v>43312</v>
      </c>
      <c r="AH248" s="6">
        <v>127.9</v>
      </c>
      <c r="AI248" s="1">
        <v>126</v>
      </c>
      <c r="AJ248" s="1">
        <f>AH248-AI248</f>
        <v>1.9000000000000057</v>
      </c>
      <c r="AK248" s="2">
        <v>44288</v>
      </c>
      <c r="AL248" s="1">
        <v>-0.13333333333333</v>
      </c>
      <c r="AM248" s="1">
        <v>0.1</v>
      </c>
      <c r="AN248" s="4">
        <f>AL248-AM248</f>
        <v>-0.23333333333333001</v>
      </c>
      <c r="AO248" s="2">
        <v>43293</v>
      </c>
      <c r="AP248" s="5">
        <v>0.12852495999999999</v>
      </c>
      <c r="AQ248" s="1">
        <v>0.2</v>
      </c>
      <c r="AR248" s="4">
        <f>AP248-AQ248</f>
        <v>-7.1475040000000017E-2</v>
      </c>
      <c r="AS248" s="2">
        <v>43287</v>
      </c>
      <c r="AT248" s="5">
        <v>-43.052999999999997</v>
      </c>
      <c r="AU248" s="1">
        <v>-43.7</v>
      </c>
      <c r="AV248" s="4">
        <f>AT248-AU248</f>
        <v>0.64700000000000557</v>
      </c>
      <c r="AW248" s="9">
        <v>43298</v>
      </c>
      <c r="AX248" s="4">
        <v>0.61867303368372595</v>
      </c>
      <c r="AY248" s="6">
        <v>0.6</v>
      </c>
      <c r="AZ248" s="4">
        <f>AX248-AY248</f>
        <v>1.867303368372597E-2</v>
      </c>
    </row>
    <row r="249" spans="1:52" s="1" customFormat="1" x14ac:dyDescent="0.2">
      <c r="A249" s="2">
        <v>43315</v>
      </c>
      <c r="B249" s="1">
        <v>157</v>
      </c>
      <c r="C249" s="1">
        <v>190</v>
      </c>
      <c r="D249" s="1">
        <f>B249-C249</f>
        <v>-33</v>
      </c>
      <c r="E249" s="2">
        <v>43315</v>
      </c>
      <c r="F249" s="1">
        <v>3.9</v>
      </c>
      <c r="G249" s="1">
        <v>3.9</v>
      </c>
      <c r="H249" s="1">
        <f>F249-G249</f>
        <v>0</v>
      </c>
      <c r="I249" s="2">
        <v>43322</v>
      </c>
      <c r="J249" s="1">
        <v>0.24290239210275744</v>
      </c>
      <c r="K249" s="1">
        <v>0.2</v>
      </c>
      <c r="L249" s="4">
        <f>J249-K249</f>
        <v>4.2902392102757425E-2</v>
      </c>
      <c r="P249" s="4"/>
      <c r="Q249" s="2">
        <v>44575</v>
      </c>
      <c r="R249" s="4">
        <v>-1.9143532681236799</v>
      </c>
      <c r="S249" s="1">
        <v>0</v>
      </c>
      <c r="T249" s="4">
        <f>R249-S249</f>
        <v>-1.9143532681236799</v>
      </c>
      <c r="U249" s="2">
        <v>43347</v>
      </c>
      <c r="V249" s="1" t="s">
        <v>52</v>
      </c>
      <c r="W249" s="1" t="s">
        <v>52</v>
      </c>
      <c r="X249" s="1">
        <v>3.6</v>
      </c>
      <c r="Y249" s="2">
        <v>43915</v>
      </c>
      <c r="Z249" s="5">
        <v>1.1632953500000001</v>
      </c>
      <c r="AA249" s="1">
        <v>-0.8</v>
      </c>
      <c r="AB249" s="4">
        <f>Z249-AA249</f>
        <v>1.9632953500000001</v>
      </c>
      <c r="AC249" s="2">
        <v>43887</v>
      </c>
      <c r="AD249" s="5">
        <v>0.76400000000000001</v>
      </c>
      <c r="AE249" s="6">
        <v>0.71</v>
      </c>
      <c r="AF249" s="7">
        <f>AD249-AE249</f>
        <v>5.4000000000000048E-2</v>
      </c>
      <c r="AG249" s="8">
        <v>43340</v>
      </c>
      <c r="AH249" s="6">
        <v>134.69999999999999</v>
      </c>
      <c r="AI249" s="1">
        <v>126.7</v>
      </c>
      <c r="AJ249" s="1">
        <f>AH249-AI249</f>
        <v>7.9999999999999858</v>
      </c>
      <c r="AK249" s="2">
        <v>44323</v>
      </c>
      <c r="AL249" s="1">
        <v>0.70093457943925497</v>
      </c>
      <c r="AM249" s="1">
        <v>0</v>
      </c>
      <c r="AN249" s="4">
        <f>AL249-AM249</f>
        <v>0.70093457943925497</v>
      </c>
      <c r="AO249" s="2">
        <v>43322</v>
      </c>
      <c r="AP249" s="5">
        <v>0.17101375999999999</v>
      </c>
      <c r="AQ249" s="1">
        <v>0.2</v>
      </c>
      <c r="AR249" s="4">
        <f>AP249-AQ249</f>
        <v>-2.8986240000000024E-2</v>
      </c>
      <c r="AS249" s="2">
        <v>43315</v>
      </c>
      <c r="AT249" s="5">
        <v>-46.347999999999999</v>
      </c>
      <c r="AU249" s="1">
        <v>-46.5</v>
      </c>
      <c r="AV249" s="4">
        <f>AT249-AU249</f>
        <v>0.15200000000000102</v>
      </c>
      <c r="AW249" s="9">
        <v>43327</v>
      </c>
      <c r="AX249" s="4">
        <v>0.112256645945702</v>
      </c>
      <c r="AY249" s="6">
        <v>0.3</v>
      </c>
      <c r="AZ249" s="4">
        <f>AX249-AY249</f>
        <v>-0.18774335405429798</v>
      </c>
    </row>
    <row r="250" spans="1:52" s="1" customFormat="1" x14ac:dyDescent="0.2">
      <c r="A250" s="2">
        <v>43350</v>
      </c>
      <c r="B250" s="1">
        <v>201</v>
      </c>
      <c r="C250" s="1">
        <v>191</v>
      </c>
      <c r="D250" s="1">
        <f>B250-C250</f>
        <v>10</v>
      </c>
      <c r="E250" s="2">
        <v>43350</v>
      </c>
      <c r="F250" s="1">
        <v>3.9</v>
      </c>
      <c r="G250" s="1">
        <v>3.8</v>
      </c>
      <c r="H250" s="1">
        <f>F250-G250</f>
        <v>0.10000000000000009</v>
      </c>
      <c r="I250" s="2">
        <v>43356</v>
      </c>
      <c r="J250" s="1">
        <v>8.180514092971454E-2</v>
      </c>
      <c r="K250" s="1">
        <v>0.2</v>
      </c>
      <c r="L250" s="4">
        <f>J250-K250</f>
        <v>-0.11819485907028547</v>
      </c>
      <c r="P250" s="4"/>
      <c r="Q250" s="2">
        <v>44608</v>
      </c>
      <c r="R250" s="4">
        <v>3.7501856171831198</v>
      </c>
      <c r="S250" s="1">
        <v>2</v>
      </c>
      <c r="T250" s="4">
        <f>R250-S250</f>
        <v>1.7501856171831198</v>
      </c>
      <c r="U250" s="2">
        <v>43374</v>
      </c>
      <c r="V250" s="1" t="s">
        <v>52</v>
      </c>
      <c r="W250" s="1" t="s">
        <v>52</v>
      </c>
      <c r="X250" s="1">
        <v>-0.3</v>
      </c>
      <c r="Y250" s="2">
        <v>43945</v>
      </c>
      <c r="Z250" s="5">
        <v>-14.441318000000001</v>
      </c>
      <c r="AA250" s="1">
        <v>-11.9</v>
      </c>
      <c r="AB250" s="4">
        <f>Z250-AA250</f>
        <v>-2.5413180000000004</v>
      </c>
      <c r="AC250" s="2">
        <v>43914</v>
      </c>
      <c r="AD250" s="5">
        <v>0.76500000000000001</v>
      </c>
      <c r="AE250" s="6">
        <v>0.75</v>
      </c>
      <c r="AF250" s="7">
        <f>AD250-AE250</f>
        <v>1.5000000000000013E-2</v>
      </c>
      <c r="AG250" s="8">
        <v>43368</v>
      </c>
      <c r="AH250" s="6">
        <v>135.30000000000001</v>
      </c>
      <c r="AI250" s="1">
        <v>132</v>
      </c>
      <c r="AJ250" s="1">
        <f>AH250-AI250</f>
        <v>3.3000000000000114</v>
      </c>
      <c r="AK250" s="2">
        <v>44351</v>
      </c>
      <c r="AL250" s="1">
        <v>0.49701789264412999</v>
      </c>
      <c r="AM250" s="1">
        <v>0.2</v>
      </c>
      <c r="AN250" s="4">
        <f>AL250-AM250</f>
        <v>0.29701789264412998</v>
      </c>
      <c r="AO250" s="2">
        <v>43356</v>
      </c>
      <c r="AP250" s="5">
        <v>0.22285363999999999</v>
      </c>
      <c r="AQ250" s="1">
        <v>0.3</v>
      </c>
      <c r="AR250" s="4">
        <f>AP250-AQ250</f>
        <v>-7.7146359999999997E-2</v>
      </c>
      <c r="AS250" s="2">
        <v>43348</v>
      </c>
      <c r="AT250" s="5">
        <v>-50.082000000000001</v>
      </c>
      <c r="AU250" s="1">
        <v>-50.3</v>
      </c>
      <c r="AV250" s="4">
        <f>AT250-AU250</f>
        <v>0.21799999999999642</v>
      </c>
      <c r="AW250" s="9">
        <v>43357</v>
      </c>
      <c r="AX250" s="4">
        <v>0.412107155282392</v>
      </c>
      <c r="AY250" s="6">
        <v>0.3</v>
      </c>
      <c r="AZ250" s="4">
        <f>AX250-AY250</f>
        <v>0.11210715528239201</v>
      </c>
    </row>
    <row r="251" spans="1:52" s="1" customFormat="1" x14ac:dyDescent="0.2">
      <c r="A251" s="2">
        <v>43378</v>
      </c>
      <c r="B251" s="1">
        <v>134</v>
      </c>
      <c r="C251" s="1">
        <v>185</v>
      </c>
      <c r="D251" s="1">
        <f>B251-C251</f>
        <v>-51</v>
      </c>
      <c r="E251" s="2">
        <v>43378</v>
      </c>
      <c r="F251" s="1">
        <v>3.7</v>
      </c>
      <c r="G251" s="1">
        <v>3.8</v>
      </c>
      <c r="H251" s="1">
        <f>F251-G251</f>
        <v>-9.9999999999999645E-2</v>
      </c>
      <c r="I251" s="2">
        <v>43384</v>
      </c>
      <c r="J251" s="1">
        <v>0.11621555661439079</v>
      </c>
      <c r="K251" s="1">
        <v>0.2</v>
      </c>
      <c r="L251" s="4">
        <f>J251-K251</f>
        <v>-8.3784443385609225E-2</v>
      </c>
      <c r="P251" s="4"/>
      <c r="Q251" s="2">
        <v>44636</v>
      </c>
      <c r="R251" s="4">
        <v>0.30650021261451799</v>
      </c>
      <c r="S251" s="1">
        <v>0.4</v>
      </c>
      <c r="T251" s="4">
        <f>R251-S251</f>
        <v>-9.3499787385482036E-2</v>
      </c>
      <c r="U251" s="2">
        <v>43405</v>
      </c>
      <c r="V251" s="1" t="s">
        <v>52</v>
      </c>
      <c r="W251" s="1" t="s">
        <v>52</v>
      </c>
      <c r="X251" s="1">
        <v>-1.3</v>
      </c>
      <c r="Y251" s="2">
        <v>43979</v>
      </c>
      <c r="Z251" s="5">
        <v>-17.229054000000001</v>
      </c>
      <c r="AA251" s="1">
        <v>-19</v>
      </c>
      <c r="AB251" s="4">
        <f>Z251-AA251</f>
        <v>1.7709459999999986</v>
      </c>
      <c r="AC251" s="2">
        <v>43944</v>
      </c>
      <c r="AD251" s="5">
        <v>0.627</v>
      </c>
      <c r="AE251" s="6">
        <v>0.64500000000000002</v>
      </c>
      <c r="AF251" s="7">
        <f>AD251-AE251</f>
        <v>-1.8000000000000016E-2</v>
      </c>
      <c r="AG251" s="8">
        <v>43403</v>
      </c>
      <c r="AH251" s="6">
        <v>137.9</v>
      </c>
      <c r="AI251" s="1">
        <v>136</v>
      </c>
      <c r="AJ251" s="1">
        <f>AH251-AI251</f>
        <v>1.9000000000000057</v>
      </c>
      <c r="AK251" s="2">
        <v>44379</v>
      </c>
      <c r="AL251" s="1">
        <v>0.33003300330032298</v>
      </c>
      <c r="AM251" s="1">
        <v>0.4</v>
      </c>
      <c r="AN251" s="4">
        <f>AL251-AM251</f>
        <v>-6.9966996699677042E-2</v>
      </c>
      <c r="AO251" s="2">
        <v>43384</v>
      </c>
      <c r="AP251" s="5">
        <v>5.8766069999999997E-2</v>
      </c>
      <c r="AQ251" s="1">
        <v>0.2</v>
      </c>
      <c r="AR251" s="4">
        <f>AP251-AQ251</f>
        <v>-0.14123393000000001</v>
      </c>
      <c r="AS251" s="2">
        <v>43378</v>
      </c>
      <c r="AT251" s="5">
        <v>-53.237000000000002</v>
      </c>
      <c r="AU251" s="1">
        <v>-53.5</v>
      </c>
      <c r="AV251" s="4">
        <f>AT251-AU251</f>
        <v>0.26299999999999812</v>
      </c>
      <c r="AW251" s="9">
        <v>43389</v>
      </c>
      <c r="AX251" s="4">
        <v>0.25247437828646602</v>
      </c>
      <c r="AY251" s="6">
        <v>0.2</v>
      </c>
      <c r="AZ251" s="4">
        <f>AX251-AY251</f>
        <v>5.2474378286466006E-2</v>
      </c>
    </row>
    <row r="252" spans="1:52" s="1" customFormat="1" x14ac:dyDescent="0.2">
      <c r="A252" s="2">
        <v>43406</v>
      </c>
      <c r="B252" s="1">
        <v>250</v>
      </c>
      <c r="C252" s="1">
        <v>190</v>
      </c>
      <c r="D252" s="1">
        <f>B252-C252</f>
        <v>60</v>
      </c>
      <c r="E252" s="2">
        <v>43406</v>
      </c>
      <c r="F252" s="1">
        <v>3.7</v>
      </c>
      <c r="G252" s="1">
        <v>3.7</v>
      </c>
      <c r="H252" s="1">
        <f>F252-G252</f>
        <v>0</v>
      </c>
      <c r="I252" s="2">
        <v>43418</v>
      </c>
      <c r="J252" s="1">
        <v>0.19269388371042029</v>
      </c>
      <c r="K252" s="1">
        <v>0.2</v>
      </c>
      <c r="L252" s="4">
        <f>J252-K252</f>
        <v>-7.3061162895797227E-3</v>
      </c>
      <c r="P252" s="4"/>
      <c r="Q252" s="2">
        <v>44665</v>
      </c>
      <c r="R252" s="4">
        <v>0.49953428127599298</v>
      </c>
      <c r="S252" s="1">
        <v>0.6</v>
      </c>
      <c r="T252" s="4">
        <f>R252-S252</f>
        <v>-0.100465718724007</v>
      </c>
      <c r="U252" s="2">
        <v>43437</v>
      </c>
      <c r="V252" s="1" t="s">
        <v>52</v>
      </c>
      <c r="W252" s="1" t="s">
        <v>52</v>
      </c>
      <c r="X252" s="1">
        <v>1.7</v>
      </c>
      <c r="Y252" s="2">
        <v>44007</v>
      </c>
      <c r="Z252" s="5">
        <v>15.8421269</v>
      </c>
      <c r="AA252" s="1">
        <v>11.2</v>
      </c>
      <c r="AB252" s="4">
        <f>Z252-AA252</f>
        <v>4.6421269000000009</v>
      </c>
      <c r="AC252" s="2">
        <v>43977</v>
      </c>
      <c r="AD252" s="5">
        <v>0.623</v>
      </c>
      <c r="AE252" s="6">
        <v>0.48</v>
      </c>
      <c r="AF252" s="7">
        <f>AD252-AE252</f>
        <v>0.14300000000000002</v>
      </c>
      <c r="AG252" s="8">
        <v>43431</v>
      </c>
      <c r="AH252" s="6">
        <v>136.4</v>
      </c>
      <c r="AI252" s="1">
        <v>135.9</v>
      </c>
      <c r="AJ252" s="1">
        <f>AH252-AI252</f>
        <v>0.5</v>
      </c>
      <c r="AK252" s="2">
        <v>44414</v>
      </c>
      <c r="AL252" s="1">
        <v>0.36148537627341198</v>
      </c>
      <c r="AM252" s="1">
        <v>0.3</v>
      </c>
      <c r="AN252" s="4">
        <f>AL252-AM252</f>
        <v>6.1485376273411996E-2</v>
      </c>
      <c r="AO252" s="2">
        <v>43418</v>
      </c>
      <c r="AP252" s="5">
        <v>0.33056342999999999</v>
      </c>
      <c r="AQ252" s="1">
        <v>0.3</v>
      </c>
      <c r="AR252" s="4">
        <f>AP252-AQ252</f>
        <v>3.0563430000000003E-2</v>
      </c>
      <c r="AS252" s="2">
        <v>43406</v>
      </c>
      <c r="AT252" s="5">
        <v>-54.018999999999998</v>
      </c>
      <c r="AU252" s="1">
        <v>-53.6</v>
      </c>
      <c r="AV252" s="4">
        <f>AT252-AU252</f>
        <v>-0.41899999999999693</v>
      </c>
      <c r="AW252" s="9">
        <v>43420</v>
      </c>
      <c r="AX252" s="4">
        <v>0.10353126038294901</v>
      </c>
      <c r="AY252" s="6">
        <v>0.2</v>
      </c>
      <c r="AZ252" s="4">
        <f>AX252-AY252</f>
        <v>-9.6468739617051005E-2</v>
      </c>
    </row>
    <row r="253" spans="1:52" s="1" customFormat="1" x14ac:dyDescent="0.2">
      <c r="A253" s="2">
        <v>43441</v>
      </c>
      <c r="B253" s="1">
        <v>155</v>
      </c>
      <c r="C253" s="1">
        <v>200</v>
      </c>
      <c r="D253" s="1">
        <f>B253-C253</f>
        <v>-45</v>
      </c>
      <c r="E253" s="2">
        <v>43441</v>
      </c>
      <c r="F253" s="1">
        <v>3.7</v>
      </c>
      <c r="G253" s="1">
        <v>3.7</v>
      </c>
      <c r="H253" s="1">
        <f>F253-G253</f>
        <v>0</v>
      </c>
      <c r="I253" s="2">
        <v>43446</v>
      </c>
      <c r="J253" s="1">
        <v>0.2093157075604575</v>
      </c>
      <c r="K253" s="1">
        <v>0.2</v>
      </c>
      <c r="L253" s="4">
        <f>J253-K253</f>
        <v>9.3157075604574924E-3</v>
      </c>
      <c r="P253" s="4"/>
      <c r="Q253" s="2">
        <v>44698</v>
      </c>
      <c r="R253" s="4">
        <v>0.90270498832721902</v>
      </c>
      <c r="S253" s="1">
        <v>0.9</v>
      </c>
      <c r="T253" s="4">
        <f>R253-S253</f>
        <v>2.7049883272189934E-3</v>
      </c>
      <c r="U253" s="2">
        <v>43468</v>
      </c>
      <c r="V253" s="1" t="s">
        <v>52</v>
      </c>
      <c r="W253" s="1" t="s">
        <v>52</v>
      </c>
      <c r="X253" s="1">
        <v>-3.8</v>
      </c>
      <c r="Y253" s="2">
        <v>44039</v>
      </c>
      <c r="Z253" s="5">
        <v>7.26478</v>
      </c>
      <c r="AA253" s="1">
        <v>7</v>
      </c>
      <c r="AB253" s="4">
        <f>Z253-AA253</f>
        <v>0.26478000000000002</v>
      </c>
      <c r="AC253" s="2">
        <v>44005</v>
      </c>
      <c r="AD253" s="5">
        <v>0.67600000000000005</v>
      </c>
      <c r="AE253" s="6">
        <v>0.64</v>
      </c>
      <c r="AF253" s="7">
        <f>AD253-AE253</f>
        <v>3.6000000000000032E-2</v>
      </c>
      <c r="AG253" s="8">
        <v>43461</v>
      </c>
      <c r="AH253" s="6">
        <v>126.6</v>
      </c>
      <c r="AI253" s="1">
        <v>133.69999999999999</v>
      </c>
      <c r="AJ253" s="1">
        <f>AH253-AI253</f>
        <v>-7.0999999999999943</v>
      </c>
      <c r="AK253" s="2">
        <v>44442</v>
      </c>
      <c r="AL253" s="1">
        <v>0.55628272251309396</v>
      </c>
      <c r="AM253" s="1">
        <v>0.3</v>
      </c>
      <c r="AN253" s="4">
        <f>AL253-AM253</f>
        <v>0.25628272251309397</v>
      </c>
      <c r="AO253" s="2">
        <v>43446</v>
      </c>
      <c r="AP253" s="5">
        <v>1.938084E-2</v>
      </c>
      <c r="AQ253" s="1">
        <v>0</v>
      </c>
      <c r="AR253" s="4">
        <f>AP253-AQ253</f>
        <v>1.938084E-2</v>
      </c>
      <c r="AS253" s="2">
        <v>43440</v>
      </c>
      <c r="AT253" s="5">
        <v>-55.488</v>
      </c>
      <c r="AU253" s="1">
        <v>-55</v>
      </c>
      <c r="AV253" s="4">
        <f>AT253-AU253</f>
        <v>-0.48799999999999955</v>
      </c>
      <c r="AW253" s="9">
        <v>43448</v>
      </c>
      <c r="AX253" s="4">
        <v>0.60615814740560303</v>
      </c>
      <c r="AY253" s="6">
        <v>0.3</v>
      </c>
      <c r="AZ253" s="4">
        <f>AX253-AY253</f>
        <v>0.30615814740560304</v>
      </c>
    </row>
    <row r="254" spans="1:52" s="1" customFormat="1" x14ac:dyDescent="0.2">
      <c r="A254" s="2">
        <v>43469</v>
      </c>
      <c r="B254" s="1">
        <v>312</v>
      </c>
      <c r="C254" s="1">
        <v>177</v>
      </c>
      <c r="D254" s="1">
        <f>B254-C254</f>
        <v>135</v>
      </c>
      <c r="E254" s="2">
        <v>43469</v>
      </c>
      <c r="F254" s="1">
        <v>3.9</v>
      </c>
      <c r="G254" s="1">
        <v>3.7</v>
      </c>
      <c r="H254" s="1">
        <f>F254-G254</f>
        <v>0.19999999999999973</v>
      </c>
      <c r="I254" s="2">
        <v>43476</v>
      </c>
      <c r="J254" s="1">
        <v>0.21042003075369384</v>
      </c>
      <c r="K254" s="1">
        <v>0.2</v>
      </c>
      <c r="L254" s="4">
        <f>J254-K254</f>
        <v>1.0420030753693826E-2</v>
      </c>
      <c r="P254" s="4"/>
      <c r="Q254" s="2">
        <v>44727</v>
      </c>
      <c r="R254" s="4">
        <v>-0.26679551902103799</v>
      </c>
      <c r="S254" s="1">
        <v>0.2</v>
      </c>
      <c r="T254" s="4">
        <f>R254-S254</f>
        <v>-0.466795519021038</v>
      </c>
      <c r="U254" s="2">
        <v>43497</v>
      </c>
      <c r="V254" s="1" t="s">
        <v>52</v>
      </c>
      <c r="W254" s="1" t="s">
        <v>52</v>
      </c>
      <c r="X254" s="1">
        <v>2.4</v>
      </c>
      <c r="Y254" s="2">
        <v>44069</v>
      </c>
      <c r="Z254" s="5">
        <v>11.1908067</v>
      </c>
      <c r="AA254" s="1">
        <v>4.3</v>
      </c>
      <c r="AB254" s="4">
        <f>Z254-AA254</f>
        <v>6.8908066999999997</v>
      </c>
      <c r="AC254" s="2">
        <v>44036</v>
      </c>
      <c r="AD254" s="5">
        <v>0.77600000000000002</v>
      </c>
      <c r="AE254" s="6">
        <v>0.7</v>
      </c>
      <c r="AF254" s="7">
        <f>AD254-AE254</f>
        <v>7.6000000000000068E-2</v>
      </c>
      <c r="AG254" s="8">
        <v>43494</v>
      </c>
      <c r="AH254" s="6">
        <v>121.7</v>
      </c>
      <c r="AI254" s="1">
        <v>124.7</v>
      </c>
      <c r="AJ254" s="1">
        <f>AH254-AI254</f>
        <v>-3</v>
      </c>
      <c r="AK254" s="2">
        <v>44477</v>
      </c>
      <c r="AL254" s="1">
        <v>0.61969993476843199</v>
      </c>
      <c r="AM254" s="1">
        <v>0.4</v>
      </c>
      <c r="AN254" s="4">
        <f>AL254-AM254</f>
        <v>0.21969993476843197</v>
      </c>
      <c r="AO254" s="2">
        <v>43476</v>
      </c>
      <c r="AP254" s="5">
        <v>-5.6549500000000003E-2</v>
      </c>
      <c r="AQ254" s="1">
        <v>-0.1</v>
      </c>
      <c r="AR254" s="4">
        <f>AP254-AQ254</f>
        <v>4.3450500000000003E-2</v>
      </c>
      <c r="AS254" s="2">
        <v>43502</v>
      </c>
      <c r="AT254" s="5">
        <v>-49.313000000000002</v>
      </c>
      <c r="AU254" s="1">
        <v>-54</v>
      </c>
      <c r="AV254" s="4">
        <f>AT254-AU254</f>
        <v>4.6869999999999976</v>
      </c>
      <c r="AW254" s="9">
        <v>43483</v>
      </c>
      <c r="AX254" s="4">
        <v>0.34718070828880998</v>
      </c>
      <c r="AY254" s="6">
        <v>0.2</v>
      </c>
      <c r="AZ254" s="4">
        <f>AX254-AY254</f>
        <v>0.14718070828880997</v>
      </c>
    </row>
    <row r="255" spans="1:52" s="1" customFormat="1" x14ac:dyDescent="0.2">
      <c r="A255" s="2">
        <v>43497</v>
      </c>
      <c r="B255" s="1">
        <v>304</v>
      </c>
      <c r="C255" s="1">
        <v>165</v>
      </c>
      <c r="D255" s="1">
        <f>B255-C255</f>
        <v>139</v>
      </c>
      <c r="E255" s="2">
        <v>43497</v>
      </c>
      <c r="F255" s="1">
        <v>4</v>
      </c>
      <c r="G255" s="1">
        <v>3.9</v>
      </c>
      <c r="H255" s="1">
        <f>F255-G255</f>
        <v>0.10000000000000009</v>
      </c>
      <c r="I255" s="2">
        <v>43509</v>
      </c>
      <c r="J255" s="1">
        <v>0.25920385190769996</v>
      </c>
      <c r="K255" s="1">
        <v>0.2</v>
      </c>
      <c r="L255" s="4">
        <f>J255-K255</f>
        <v>5.9203851907699945E-2</v>
      </c>
      <c r="P255" s="4"/>
      <c r="Q255" s="2">
        <v>44757</v>
      </c>
      <c r="R255" s="4">
        <v>1.00007123225871</v>
      </c>
      <c r="S255" s="1">
        <v>0.8</v>
      </c>
      <c r="T255" s="4">
        <f>R255-S255</f>
        <v>0.20007123225870993</v>
      </c>
      <c r="U255" s="2">
        <v>43525</v>
      </c>
      <c r="V255" s="1" t="s">
        <v>52</v>
      </c>
      <c r="W255" s="1" t="s">
        <v>52</v>
      </c>
      <c r="X255" s="1">
        <v>-1.3</v>
      </c>
      <c r="Y255" s="2">
        <v>44099</v>
      </c>
      <c r="Z255" s="5">
        <v>0.44606073000000002</v>
      </c>
      <c r="AA255" s="1">
        <v>1.5</v>
      </c>
      <c r="AB255" s="4">
        <f>Z255-AA255</f>
        <v>-1.0539392699999999</v>
      </c>
      <c r="AC255" s="2">
        <v>44068</v>
      </c>
      <c r="AD255" s="5">
        <v>0.90100000000000002</v>
      </c>
      <c r="AE255" s="6">
        <v>0.78500000000000003</v>
      </c>
      <c r="AF255" s="7">
        <f>AD255-AE255</f>
        <v>0.11599999999999999</v>
      </c>
      <c r="AG255" s="8">
        <v>43522</v>
      </c>
      <c r="AH255" s="6">
        <v>131.4</v>
      </c>
      <c r="AI255" s="1">
        <v>124.7</v>
      </c>
      <c r="AJ255" s="1">
        <f>AH255-AI255</f>
        <v>6.7000000000000028</v>
      </c>
      <c r="AK255" s="2">
        <v>44505</v>
      </c>
      <c r="AL255" s="1">
        <v>0.356564019448944</v>
      </c>
      <c r="AM255" s="1">
        <v>0.4</v>
      </c>
      <c r="AN255" s="4">
        <f>AL255-AM255</f>
        <v>-4.3435980551056019E-2</v>
      </c>
      <c r="AO255" s="2">
        <v>43509</v>
      </c>
      <c r="AP255" s="5">
        <v>-1.97845E-2</v>
      </c>
      <c r="AQ255" s="1">
        <v>0.1</v>
      </c>
      <c r="AR255" s="4">
        <f>AP255-AQ255</f>
        <v>-0.1197845</v>
      </c>
      <c r="AS255" s="2">
        <v>43530</v>
      </c>
      <c r="AT255" s="5">
        <v>-59.768999999999998</v>
      </c>
      <c r="AU255" s="1">
        <v>-57.9</v>
      </c>
      <c r="AV255" s="4">
        <f>AT255-AU255</f>
        <v>-1.8689999999999998</v>
      </c>
      <c r="AW255" s="9">
        <v>43511</v>
      </c>
      <c r="AX255" s="4">
        <v>-0.57947395864560003</v>
      </c>
      <c r="AY255" s="6">
        <v>0.1</v>
      </c>
      <c r="AZ255" s="4">
        <f>AX255-AY255</f>
        <v>-0.67947395864560001</v>
      </c>
    </row>
    <row r="256" spans="1:52" s="1" customFormat="1" x14ac:dyDescent="0.2">
      <c r="A256" s="2">
        <v>43532</v>
      </c>
      <c r="B256" s="1">
        <v>20</v>
      </c>
      <c r="C256" s="1">
        <v>180</v>
      </c>
      <c r="D256" s="1">
        <f>B256-C256</f>
        <v>-160</v>
      </c>
      <c r="E256" s="2">
        <v>43532</v>
      </c>
      <c r="F256" s="1">
        <v>3.8</v>
      </c>
      <c r="G256" s="1">
        <v>3.9</v>
      </c>
      <c r="H256" s="1">
        <f>F256-G256</f>
        <v>-0.10000000000000009</v>
      </c>
      <c r="I256" s="2">
        <v>43536</v>
      </c>
      <c r="J256" s="1">
        <v>0.11047138292524925</v>
      </c>
      <c r="K256" s="1">
        <v>0.2</v>
      </c>
      <c r="L256" s="4">
        <f>J256-K256</f>
        <v>-8.9528617074750766E-2</v>
      </c>
      <c r="P256" s="4"/>
      <c r="Q256" s="2">
        <v>44790</v>
      </c>
      <c r="R256" s="4">
        <v>3.3695437198297602E-2</v>
      </c>
      <c r="S256" s="1">
        <v>0.1</v>
      </c>
      <c r="T256" s="4">
        <f>R256-S256</f>
        <v>-6.630456280170241E-2</v>
      </c>
      <c r="U256" s="2">
        <v>43556</v>
      </c>
      <c r="V256" s="1" t="s">
        <v>52</v>
      </c>
      <c r="W256" s="1" t="s">
        <v>52</v>
      </c>
      <c r="X256" s="1">
        <v>0.8</v>
      </c>
      <c r="Y256" s="2">
        <v>44131</v>
      </c>
      <c r="Z256" s="5">
        <v>1.8531089999999999</v>
      </c>
      <c r="AA256" s="1">
        <v>0.5</v>
      </c>
      <c r="AB256" s="4">
        <f>Z256-AA256</f>
        <v>1.3531089999999999</v>
      </c>
      <c r="AC256" s="2">
        <v>44098</v>
      </c>
      <c r="AD256" s="5">
        <v>1.0109999999999999</v>
      </c>
      <c r="AE256" s="6">
        <v>0.89500000000000002</v>
      </c>
      <c r="AF256" s="7">
        <f>AD256-AE256</f>
        <v>0.11599999999999988</v>
      </c>
      <c r="AG256" s="8">
        <v>43550</v>
      </c>
      <c r="AH256" s="6">
        <v>124.2</v>
      </c>
      <c r="AI256" s="1">
        <v>132</v>
      </c>
      <c r="AJ256" s="1">
        <f>AH256-AI256</f>
        <v>-7.7999999999999972</v>
      </c>
      <c r="AK256" s="2">
        <v>44533</v>
      </c>
      <c r="AL256" s="1">
        <v>0.258481421647825</v>
      </c>
      <c r="AM256" s="1">
        <v>0.4</v>
      </c>
      <c r="AN256" s="4">
        <f>AL256-AM256</f>
        <v>-0.14151857835217502</v>
      </c>
      <c r="AO256" s="2">
        <v>43536</v>
      </c>
      <c r="AP256" s="5">
        <v>0.17413812000000001</v>
      </c>
      <c r="AQ256" s="1">
        <v>0.2</v>
      </c>
      <c r="AR256" s="4">
        <f>AP256-AQ256</f>
        <v>-2.5861880000000004E-2</v>
      </c>
      <c r="AS256" s="2">
        <v>43551</v>
      </c>
      <c r="AT256" s="5">
        <v>-51.149000000000001</v>
      </c>
      <c r="AU256" s="1">
        <v>-57</v>
      </c>
      <c r="AV256" s="4">
        <f>AT256-AU256</f>
        <v>5.8509999999999991</v>
      </c>
      <c r="AW256" s="9">
        <v>43539</v>
      </c>
      <c r="AX256" s="4">
        <v>0.147937369527464</v>
      </c>
      <c r="AY256" s="6">
        <v>0.4</v>
      </c>
      <c r="AZ256" s="4">
        <f>AX256-AY256</f>
        <v>-0.25206263047253602</v>
      </c>
    </row>
    <row r="257" spans="1:52" s="1" customFormat="1" x14ac:dyDescent="0.2">
      <c r="A257" s="2">
        <v>43560</v>
      </c>
      <c r="B257" s="1">
        <v>196</v>
      </c>
      <c r="C257" s="1">
        <v>180</v>
      </c>
      <c r="D257" s="1">
        <f>B257-C257</f>
        <v>16</v>
      </c>
      <c r="E257" s="2">
        <v>43560</v>
      </c>
      <c r="F257" s="1">
        <v>3.8</v>
      </c>
      <c r="G257" s="1">
        <v>3.8</v>
      </c>
      <c r="H257" s="1">
        <f>F257-G257</f>
        <v>0</v>
      </c>
      <c r="I257" s="2">
        <v>43565</v>
      </c>
      <c r="J257" s="1">
        <v>0.14751579568489392</v>
      </c>
      <c r="K257" s="1">
        <v>0.2</v>
      </c>
      <c r="L257" s="4">
        <f>J257-K257</f>
        <v>-5.2484204315106087E-2</v>
      </c>
      <c r="P257" s="4"/>
      <c r="Q257" s="2">
        <v>44819</v>
      </c>
      <c r="R257" s="4">
        <v>0.292235432261852</v>
      </c>
      <c r="S257" s="1">
        <v>0</v>
      </c>
      <c r="T257" s="4">
        <f>R257-S257</f>
        <v>0.292235432261852</v>
      </c>
      <c r="U257" s="2">
        <v>43586</v>
      </c>
      <c r="V257" s="1" t="s">
        <v>52</v>
      </c>
      <c r="W257" s="1" t="s">
        <v>52</v>
      </c>
      <c r="X257" s="1">
        <v>-2.2000000000000002</v>
      </c>
      <c r="Y257" s="2">
        <v>44160</v>
      </c>
      <c r="Z257" s="5">
        <v>1.2693952900000001</v>
      </c>
      <c r="AA257" s="1">
        <v>0.9</v>
      </c>
      <c r="AB257" s="4">
        <f>Z257-AA257</f>
        <v>0.36939529000000004</v>
      </c>
      <c r="AC257" s="2">
        <v>44130</v>
      </c>
      <c r="AD257" s="5">
        <v>0.95899999999999996</v>
      </c>
      <c r="AE257" s="6">
        <v>1.0249999999999999</v>
      </c>
      <c r="AF257" s="7">
        <f>AD257-AE257</f>
        <v>-6.5999999999999948E-2</v>
      </c>
      <c r="AG257" s="8">
        <v>43585</v>
      </c>
      <c r="AH257" s="6">
        <v>129.19999999999999</v>
      </c>
      <c r="AI257" s="1">
        <v>126</v>
      </c>
      <c r="AJ257" s="1">
        <f>AH257-AI257</f>
        <v>3.1999999999999886</v>
      </c>
      <c r="AK257" s="2">
        <v>44568</v>
      </c>
      <c r="AL257" s="1">
        <v>0.61053984575834697</v>
      </c>
      <c r="AM257" s="1">
        <v>0.4</v>
      </c>
      <c r="AN257" s="4">
        <f>AL257-AM257</f>
        <v>0.21053984575834694</v>
      </c>
      <c r="AO257" s="2">
        <v>43565</v>
      </c>
      <c r="AP257" s="5">
        <v>0.40890827000000002</v>
      </c>
      <c r="AQ257" s="1">
        <v>0.3</v>
      </c>
      <c r="AR257" s="4">
        <f>AP257-AQ257</f>
        <v>0.10890827000000003</v>
      </c>
      <c r="AS257" s="2">
        <v>43572</v>
      </c>
      <c r="AT257" s="5">
        <v>-49.381999999999998</v>
      </c>
      <c r="AU257" s="1">
        <v>-53.5</v>
      </c>
      <c r="AV257" s="4">
        <f>AT257-AU257</f>
        <v>4.1180000000000021</v>
      </c>
      <c r="AW257" s="9">
        <v>43571</v>
      </c>
      <c r="AX257" s="4">
        <v>-0.104951004738196</v>
      </c>
      <c r="AY257" s="6">
        <v>0.2</v>
      </c>
      <c r="AZ257" s="4">
        <f>AX257-AY257</f>
        <v>-0.30495100473819603</v>
      </c>
    </row>
    <row r="258" spans="1:52" s="1" customFormat="1" x14ac:dyDescent="0.2">
      <c r="A258" s="2">
        <v>43588</v>
      </c>
      <c r="B258" s="1">
        <v>263</v>
      </c>
      <c r="C258" s="1">
        <v>185</v>
      </c>
      <c r="D258" s="1">
        <f>B258-C258</f>
        <v>78</v>
      </c>
      <c r="E258" s="2">
        <v>43588</v>
      </c>
      <c r="F258" s="1">
        <v>3.6</v>
      </c>
      <c r="G258" s="1">
        <v>3.8</v>
      </c>
      <c r="H258" s="1">
        <f>F258-G258</f>
        <v>-0.19999999999999973</v>
      </c>
      <c r="I258" s="2">
        <v>43595</v>
      </c>
      <c r="J258" s="1">
        <v>0.13811626252036927</v>
      </c>
      <c r="K258" s="1">
        <v>0.2</v>
      </c>
      <c r="L258" s="4">
        <f>J258-K258</f>
        <v>-6.1883737479630746E-2</v>
      </c>
      <c r="P258" s="4"/>
      <c r="Q258" s="2">
        <v>44848</v>
      </c>
      <c r="R258" s="4">
        <v>-2.3392154856065098E-3</v>
      </c>
      <c r="S258" s="1">
        <v>0.2</v>
      </c>
      <c r="T258" s="4">
        <f>R258-S258</f>
        <v>-0.20233921548560652</v>
      </c>
      <c r="U258" s="2">
        <v>43619</v>
      </c>
      <c r="V258" s="1" t="s">
        <v>52</v>
      </c>
      <c r="W258" s="1" t="s">
        <v>52</v>
      </c>
      <c r="X258" s="1">
        <v>-0.9</v>
      </c>
      <c r="Y258" s="2">
        <v>44188</v>
      </c>
      <c r="Z258" s="5">
        <v>0.89172448000000004</v>
      </c>
      <c r="AA258" s="1">
        <v>0.6</v>
      </c>
      <c r="AB258" s="4">
        <f>Z258-AA258</f>
        <v>0.29172448000000006</v>
      </c>
      <c r="AC258" s="2">
        <v>44160</v>
      </c>
      <c r="AD258" s="5">
        <v>0.999</v>
      </c>
      <c r="AE258" s="6">
        <v>0.97</v>
      </c>
      <c r="AF258" s="7">
        <f>AD258-AE258</f>
        <v>2.9000000000000026E-2</v>
      </c>
      <c r="AG258" s="8">
        <v>43613</v>
      </c>
      <c r="AH258" s="6">
        <v>131.30000000000001</v>
      </c>
      <c r="AI258" s="1">
        <v>130</v>
      </c>
      <c r="AJ258" s="1">
        <f>AH258-AI258</f>
        <v>1.3000000000000114</v>
      </c>
      <c r="AK258" s="2">
        <v>44596</v>
      </c>
      <c r="AL258" s="1">
        <v>0.73248407643312197</v>
      </c>
      <c r="AM258" s="1">
        <v>0.5</v>
      </c>
      <c r="AN258" s="4">
        <f>AL258-AM258</f>
        <v>0.23248407643312197</v>
      </c>
      <c r="AO258" s="2">
        <v>43595</v>
      </c>
      <c r="AP258" s="5">
        <v>0.31871192999999998</v>
      </c>
      <c r="AQ258" s="1">
        <v>0.4</v>
      </c>
      <c r="AR258" s="4">
        <f>AP258-AQ258</f>
        <v>-8.1288070000000046E-2</v>
      </c>
      <c r="AS258" s="2">
        <v>43594</v>
      </c>
      <c r="AT258" s="5">
        <v>-50.002000000000002</v>
      </c>
      <c r="AU258" s="1">
        <v>-50.2</v>
      </c>
      <c r="AV258" s="4">
        <f>AT258-AU258</f>
        <v>0.1980000000000004</v>
      </c>
      <c r="AW258" s="9">
        <v>43600</v>
      </c>
      <c r="AX258" s="4">
        <v>-0.51146723575332098</v>
      </c>
      <c r="AY258" s="6">
        <v>0</v>
      </c>
      <c r="AZ258" s="4">
        <f>AX258-AY258</f>
        <v>-0.51146723575332098</v>
      </c>
    </row>
    <row r="259" spans="1:52" s="1" customFormat="1" x14ac:dyDescent="0.2">
      <c r="A259" s="2">
        <v>43623</v>
      </c>
      <c r="B259" s="1">
        <v>75</v>
      </c>
      <c r="C259" s="1">
        <v>185</v>
      </c>
      <c r="D259" s="1">
        <f>B259-C259</f>
        <v>-110</v>
      </c>
      <c r="E259" s="2">
        <v>43623</v>
      </c>
      <c r="F259" s="1">
        <v>3.6</v>
      </c>
      <c r="G259" s="1">
        <v>3.6</v>
      </c>
      <c r="H259" s="1">
        <f>F259-G259</f>
        <v>0</v>
      </c>
      <c r="I259" s="2">
        <v>43628</v>
      </c>
      <c r="J259" s="1">
        <v>0.11347355149291025</v>
      </c>
      <c r="K259" s="1">
        <v>0.2</v>
      </c>
      <c r="L259" s="4">
        <f>J259-K259</f>
        <v>-8.6526448507089765E-2</v>
      </c>
      <c r="P259" s="4"/>
      <c r="Q259" s="2">
        <v>44881</v>
      </c>
      <c r="R259" s="4">
        <v>1.27210211812876</v>
      </c>
      <c r="S259" s="1">
        <v>1</v>
      </c>
      <c r="T259" s="4">
        <f>R259-S259</f>
        <v>0.27210211812875995</v>
      </c>
      <c r="U259" s="2">
        <v>43647</v>
      </c>
      <c r="V259" s="1" t="s">
        <v>52</v>
      </c>
      <c r="W259" s="1" t="s">
        <v>52</v>
      </c>
      <c r="X259" s="1">
        <v>0.7</v>
      </c>
      <c r="Y259" s="2">
        <v>44223</v>
      </c>
      <c r="Z259" s="5">
        <v>0.15840808000000001</v>
      </c>
      <c r="AA259" s="1">
        <v>0.9</v>
      </c>
      <c r="AB259" s="4">
        <f>Z259-AA259</f>
        <v>-0.74159192000000007</v>
      </c>
      <c r="AC259" s="2">
        <v>44188</v>
      </c>
      <c r="AD259" s="5">
        <v>0.84099999999999997</v>
      </c>
      <c r="AE259" s="6">
        <v>0.995</v>
      </c>
      <c r="AF259" s="7">
        <f>AD259-AE259</f>
        <v>-0.15400000000000003</v>
      </c>
      <c r="AG259" s="8">
        <v>43641</v>
      </c>
      <c r="AH259" s="6">
        <v>124.3</v>
      </c>
      <c r="AI259" s="1">
        <v>131.1</v>
      </c>
      <c r="AJ259" s="1">
        <f>AH259-AI259</f>
        <v>-6.7999999999999972</v>
      </c>
      <c r="AK259" s="2">
        <v>44624</v>
      </c>
      <c r="AL259" s="1">
        <v>3.1675641431732598E-2</v>
      </c>
      <c r="AM259" s="1">
        <v>0.5</v>
      </c>
      <c r="AN259" s="4">
        <f>AL259-AM259</f>
        <v>-0.46832435856826737</v>
      </c>
      <c r="AO259" s="2">
        <v>43628</v>
      </c>
      <c r="AP259" s="5">
        <v>7.7267630000000004E-2</v>
      </c>
      <c r="AQ259" s="1">
        <v>0.1</v>
      </c>
      <c r="AR259" s="4">
        <f>AP259-AQ259</f>
        <v>-2.2732370000000002E-2</v>
      </c>
      <c r="AS259" s="2">
        <v>43622</v>
      </c>
      <c r="AT259" s="5">
        <v>-50.790999999999997</v>
      </c>
      <c r="AU259" s="1">
        <v>-50.7</v>
      </c>
      <c r="AV259" s="4">
        <f>AT259-AU259</f>
        <v>-9.0999999999993975E-2</v>
      </c>
      <c r="AW259" s="9">
        <v>43630</v>
      </c>
      <c r="AX259" s="4">
        <v>0.36531621196034397</v>
      </c>
      <c r="AY259" s="6">
        <v>0.2</v>
      </c>
      <c r="AZ259" s="4">
        <f>AX259-AY259</f>
        <v>0.16531621196034396</v>
      </c>
    </row>
    <row r="260" spans="1:52" s="1" customFormat="1" x14ac:dyDescent="0.2">
      <c r="A260" s="2">
        <v>43651</v>
      </c>
      <c r="B260" s="1">
        <v>224</v>
      </c>
      <c r="C260" s="1">
        <v>160</v>
      </c>
      <c r="D260" s="1">
        <f>B260-C260</f>
        <v>64</v>
      </c>
      <c r="E260" s="2">
        <v>43651</v>
      </c>
      <c r="F260" s="1">
        <v>3.7</v>
      </c>
      <c r="G260" s="1">
        <v>3.6</v>
      </c>
      <c r="H260" s="1">
        <f>F260-G260</f>
        <v>0.10000000000000009</v>
      </c>
      <c r="I260" s="2">
        <v>43657</v>
      </c>
      <c r="J260" s="1">
        <v>0.29423887158820872</v>
      </c>
      <c r="K260" s="1">
        <v>0.2</v>
      </c>
      <c r="L260" s="4">
        <f>J260-K260</f>
        <v>9.4238871588208706E-2</v>
      </c>
      <c r="P260" s="4"/>
      <c r="Q260" s="2">
        <v>44910</v>
      </c>
      <c r="R260" s="4">
        <v>-0.58242319195018699</v>
      </c>
      <c r="S260" s="1">
        <v>-0.1</v>
      </c>
      <c r="T260" s="4">
        <f>R260-S260</f>
        <v>-0.48242319195018701</v>
      </c>
      <c r="U260" s="2">
        <v>43678</v>
      </c>
      <c r="V260" s="1" t="s">
        <v>52</v>
      </c>
      <c r="W260" s="1" t="s">
        <v>52</v>
      </c>
      <c r="X260" s="1">
        <v>-0.8</v>
      </c>
      <c r="Y260" s="2">
        <v>44252</v>
      </c>
      <c r="Z260" s="5">
        <v>3.40841767</v>
      </c>
      <c r="AA260" s="1">
        <v>1.1000000000000001</v>
      </c>
      <c r="AB260" s="4">
        <f>Z260-AA260</f>
        <v>2.3084176699999999</v>
      </c>
      <c r="AC260" s="2">
        <v>44224</v>
      </c>
      <c r="AD260" s="5">
        <v>0.84199999999999997</v>
      </c>
      <c r="AE260" s="6">
        <v>0.86499999999999999</v>
      </c>
      <c r="AF260" s="7">
        <f>AD260-AE260</f>
        <v>-2.300000000000002E-2</v>
      </c>
      <c r="AG260" s="8">
        <v>43676</v>
      </c>
      <c r="AH260" s="6">
        <v>135.80000000000001</v>
      </c>
      <c r="AI260" s="1">
        <v>125</v>
      </c>
      <c r="AJ260" s="1">
        <f>AH260-AI260</f>
        <v>10.800000000000011</v>
      </c>
      <c r="AK260" s="2">
        <v>44652</v>
      </c>
      <c r="AL260" s="1">
        <v>0.411392405063287</v>
      </c>
      <c r="AM260" s="1">
        <v>0.4</v>
      </c>
      <c r="AN260" s="4">
        <f>AL260-AM260</f>
        <v>1.1392405063286981E-2</v>
      </c>
      <c r="AO260" s="2">
        <v>43657</v>
      </c>
      <c r="AP260" s="5">
        <v>5.8787800000000001E-2</v>
      </c>
      <c r="AQ260" s="1">
        <v>0</v>
      </c>
      <c r="AR260" s="4">
        <f>AP260-AQ260</f>
        <v>5.8787800000000001E-2</v>
      </c>
      <c r="AS260" s="2">
        <v>43649</v>
      </c>
      <c r="AT260" s="5">
        <v>-55.52</v>
      </c>
      <c r="AU260" s="1">
        <v>-54</v>
      </c>
      <c r="AV260" s="4">
        <f>AT260-AU260</f>
        <v>-1.5200000000000031</v>
      </c>
      <c r="AW260" s="9">
        <v>43662</v>
      </c>
      <c r="AX260" s="4">
        <v>-3.5298882110847099E-2</v>
      </c>
      <c r="AY260" s="6">
        <v>0.1</v>
      </c>
      <c r="AZ260" s="4">
        <f>AX260-AY260</f>
        <v>-0.13529888211084712</v>
      </c>
    </row>
    <row r="261" spans="1:52" s="1" customFormat="1" x14ac:dyDescent="0.2">
      <c r="A261" s="2">
        <v>43679</v>
      </c>
      <c r="B261" s="1">
        <v>164</v>
      </c>
      <c r="C261" s="1">
        <v>164</v>
      </c>
      <c r="D261" s="1">
        <f>B261-C261</f>
        <v>0</v>
      </c>
      <c r="E261" s="2">
        <v>43679</v>
      </c>
      <c r="F261" s="1">
        <v>3.7</v>
      </c>
      <c r="G261" s="1">
        <v>3.7</v>
      </c>
      <c r="H261" s="1">
        <f>F261-G261</f>
        <v>0</v>
      </c>
      <c r="I261" s="2">
        <v>43690</v>
      </c>
      <c r="J261" s="1">
        <v>0.29147308059649985</v>
      </c>
      <c r="K261" s="1">
        <v>0.2</v>
      </c>
      <c r="L261" s="4">
        <f>J261-K261</f>
        <v>9.1473080596499834E-2</v>
      </c>
      <c r="P261" s="4"/>
      <c r="Q261" s="2">
        <v>44944</v>
      </c>
      <c r="R261" s="4">
        <v>-1.1462974533860399</v>
      </c>
      <c r="S261" s="1">
        <v>-0.8</v>
      </c>
      <c r="T261" s="4">
        <f>R261-S261</f>
        <v>-0.3462974533860399</v>
      </c>
      <c r="U261" s="2">
        <v>43711</v>
      </c>
      <c r="V261" s="1" t="s">
        <v>52</v>
      </c>
      <c r="W261" s="1" t="s">
        <v>52</v>
      </c>
      <c r="X261" s="1">
        <v>-2</v>
      </c>
      <c r="Y261" s="2">
        <v>44279</v>
      </c>
      <c r="Z261" s="5">
        <v>-1.1449876999999999</v>
      </c>
      <c r="AA261" s="1">
        <v>0.8</v>
      </c>
      <c r="AB261" s="4">
        <f>Z261-AA261</f>
        <v>-1.9449877</v>
      </c>
      <c r="AC261" s="2">
        <v>44251</v>
      </c>
      <c r="AD261" s="5">
        <v>0.92300000000000004</v>
      </c>
      <c r="AE261" s="6">
        <v>0.85499999999999998</v>
      </c>
      <c r="AF261" s="7">
        <f>AD261-AE261</f>
        <v>6.800000000000006E-2</v>
      </c>
      <c r="AG261" s="8">
        <v>43704</v>
      </c>
      <c r="AH261" s="6">
        <v>134.19999999999999</v>
      </c>
      <c r="AI261" s="1">
        <v>129.5</v>
      </c>
      <c r="AJ261" s="1">
        <f>AH261-AI261</f>
        <v>4.6999999999999886</v>
      </c>
      <c r="AK261" s="2">
        <v>44687</v>
      </c>
      <c r="AL261" s="1">
        <v>0.314960629921264</v>
      </c>
      <c r="AM261" s="1">
        <v>0.4</v>
      </c>
      <c r="AN261" s="4">
        <f>AL261-AM261</f>
        <v>-8.5039370078736021E-2</v>
      </c>
      <c r="AO261" s="2">
        <v>43690</v>
      </c>
      <c r="AP261" s="5">
        <v>0.33528524999999998</v>
      </c>
      <c r="AQ261" s="1">
        <v>0.3</v>
      </c>
      <c r="AR261" s="4">
        <f>AP261-AQ261</f>
        <v>3.528524999999999E-2</v>
      </c>
      <c r="AS261" s="2">
        <v>43679</v>
      </c>
      <c r="AT261" s="5">
        <v>-55.154000000000003</v>
      </c>
      <c r="AU261" s="1">
        <v>-54.6</v>
      </c>
      <c r="AV261" s="4">
        <f>AT261-AU261</f>
        <v>-0.55400000000000205</v>
      </c>
      <c r="AW261" s="9">
        <v>43692</v>
      </c>
      <c r="AX261" s="4">
        <v>-0.21825280767430699</v>
      </c>
      <c r="AY261" s="6">
        <v>0.1</v>
      </c>
      <c r="AZ261" s="4">
        <f>AX261-AY261</f>
        <v>-0.31825280767430697</v>
      </c>
    </row>
    <row r="262" spans="1:52" s="1" customFormat="1" x14ac:dyDescent="0.2">
      <c r="A262" s="2">
        <v>43714</v>
      </c>
      <c r="B262" s="1">
        <v>130</v>
      </c>
      <c r="C262" s="1">
        <v>158</v>
      </c>
      <c r="D262" s="1">
        <f>B262-C262</f>
        <v>-28</v>
      </c>
      <c r="E262" s="2">
        <v>43714</v>
      </c>
      <c r="F262" s="1">
        <v>3.7</v>
      </c>
      <c r="G262" s="1">
        <v>3.7</v>
      </c>
      <c r="H262" s="1">
        <f>F262-G262</f>
        <v>0</v>
      </c>
      <c r="I262" s="2">
        <v>43720</v>
      </c>
      <c r="J262" s="1">
        <v>0.25647932799380335</v>
      </c>
      <c r="K262" s="1">
        <v>0.2</v>
      </c>
      <c r="L262" s="4">
        <f>J262-K262</f>
        <v>5.6479327993803341E-2</v>
      </c>
      <c r="P262" s="4"/>
      <c r="Q262" s="2">
        <v>44972</v>
      </c>
      <c r="R262" s="4">
        <v>2.9629574915980301</v>
      </c>
      <c r="S262" s="1">
        <v>1.8</v>
      </c>
      <c r="T262" s="4">
        <f>R262-S262</f>
        <v>1.1629574915980301</v>
      </c>
      <c r="U262" s="2">
        <v>43739</v>
      </c>
      <c r="V262" s="1" t="s">
        <v>52</v>
      </c>
      <c r="W262" s="1" t="s">
        <v>52</v>
      </c>
      <c r="X262" s="1">
        <v>-2.2999999999999998</v>
      </c>
      <c r="Y262" s="2">
        <v>44312</v>
      </c>
      <c r="Z262" s="5">
        <v>0.54801721000000003</v>
      </c>
      <c r="AA262" s="1">
        <v>2.2999999999999998</v>
      </c>
      <c r="AB262" s="4">
        <f>Z262-AA262</f>
        <v>-1.7519827899999998</v>
      </c>
      <c r="AC262" s="2">
        <v>44278</v>
      </c>
      <c r="AD262" s="5">
        <v>0.77500000000000002</v>
      </c>
      <c r="AE262" s="6">
        <v>0.875</v>
      </c>
      <c r="AF262" s="7">
        <f>AD262-AE262</f>
        <v>-9.9999999999999978E-2</v>
      </c>
      <c r="AG262" s="8">
        <v>43732</v>
      </c>
      <c r="AH262" s="6">
        <v>126.3</v>
      </c>
      <c r="AI262" s="1">
        <v>133.5</v>
      </c>
      <c r="AJ262" s="1">
        <f>AH262-AI262</f>
        <v>-7.2000000000000028</v>
      </c>
      <c r="AK262" s="2">
        <v>44715</v>
      </c>
      <c r="AL262" s="1">
        <v>0.31397174254316401</v>
      </c>
      <c r="AM262" s="1">
        <v>0.4</v>
      </c>
      <c r="AN262" s="4">
        <f>AL262-AM262</f>
        <v>-8.602825745683601E-2</v>
      </c>
      <c r="AO262" s="2">
        <v>43720</v>
      </c>
      <c r="AP262" s="5">
        <v>5.4262749999999998E-2</v>
      </c>
      <c r="AQ262" s="1">
        <v>0.1</v>
      </c>
      <c r="AR262" s="4">
        <f>AP262-AQ262</f>
        <v>-4.5737250000000007E-2</v>
      </c>
      <c r="AS262" s="2">
        <v>43712</v>
      </c>
      <c r="AT262" s="5">
        <v>-53.988999999999997</v>
      </c>
      <c r="AU262" s="1">
        <v>-53.5</v>
      </c>
      <c r="AV262" s="4">
        <f>AT262-AU262</f>
        <v>-0.48899999999999721</v>
      </c>
      <c r="AW262" s="9">
        <v>43725</v>
      </c>
      <c r="AX262" s="4">
        <v>0.64671018355654697</v>
      </c>
      <c r="AY262" s="6">
        <v>0.2</v>
      </c>
      <c r="AZ262" s="4">
        <f>AX262-AY262</f>
        <v>0.44671018355654696</v>
      </c>
    </row>
    <row r="263" spans="1:52" s="1" customFormat="1" x14ac:dyDescent="0.2">
      <c r="A263" s="2">
        <v>43742</v>
      </c>
      <c r="B263" s="1">
        <v>136</v>
      </c>
      <c r="C263" s="1">
        <v>145</v>
      </c>
      <c r="D263" s="1">
        <f>B263-C263</f>
        <v>-9</v>
      </c>
      <c r="E263" s="2">
        <v>43742</v>
      </c>
      <c r="F263" s="1">
        <v>3.5</v>
      </c>
      <c r="G263" s="1">
        <v>3.7</v>
      </c>
      <c r="H263" s="1">
        <f>F263-G263</f>
        <v>-0.20000000000000018</v>
      </c>
      <c r="I263" s="2">
        <v>43748</v>
      </c>
      <c r="J263" s="1">
        <v>0.13245283732900254</v>
      </c>
      <c r="K263" s="1">
        <v>0.2</v>
      </c>
      <c r="L263" s="4">
        <f>J263-K263</f>
        <v>-6.7547162670997474E-2</v>
      </c>
      <c r="P263" s="4"/>
      <c r="Q263" s="2">
        <v>45000</v>
      </c>
      <c r="R263" s="4">
        <v>-0.40046697360571498</v>
      </c>
      <c r="S263" s="1">
        <v>-0.3</v>
      </c>
      <c r="T263" s="4">
        <f>R263-S263</f>
        <v>-0.10046697360571499</v>
      </c>
      <c r="U263" s="2">
        <v>43770</v>
      </c>
      <c r="V263" s="1" t="s">
        <v>52</v>
      </c>
      <c r="W263" s="1" t="s">
        <v>52</v>
      </c>
      <c r="X263" s="1">
        <v>-0.6</v>
      </c>
      <c r="Y263" s="2">
        <v>44343</v>
      </c>
      <c r="Z263" s="5">
        <v>-1.2868686</v>
      </c>
      <c r="AA263" s="1">
        <v>0.7</v>
      </c>
      <c r="AB263" s="4">
        <f>Z263-AA263</f>
        <v>-1.9868686</v>
      </c>
      <c r="AC263" s="2">
        <v>44309</v>
      </c>
      <c r="AD263" s="5">
        <v>1.0209999999999999</v>
      </c>
      <c r="AE263" s="6">
        <v>0.88600000000000001</v>
      </c>
      <c r="AF263" s="7">
        <f>AD263-AE263</f>
        <v>0.1349999999999999</v>
      </c>
      <c r="AG263" s="8">
        <v>43767</v>
      </c>
      <c r="AH263" s="6">
        <v>126.1</v>
      </c>
      <c r="AI263" s="1">
        <v>128</v>
      </c>
      <c r="AJ263" s="1">
        <f>AH263-AI263</f>
        <v>-1.9000000000000057</v>
      </c>
      <c r="AK263" s="2">
        <v>44750</v>
      </c>
      <c r="AL263" s="1">
        <v>0.31269543464664701</v>
      </c>
      <c r="AM263" s="1">
        <v>0.3</v>
      </c>
      <c r="AN263" s="4">
        <f>AL263-AM263</f>
        <v>1.2695434646647019E-2</v>
      </c>
      <c r="AO263" s="2">
        <v>43748</v>
      </c>
      <c r="AP263" s="5">
        <v>2.2629730000000001E-2</v>
      </c>
      <c r="AQ263" s="1">
        <v>0.1</v>
      </c>
      <c r="AR263" s="4">
        <f>AP263-AQ263</f>
        <v>-7.7370270000000005E-2</v>
      </c>
      <c r="AS263" s="2">
        <v>43742</v>
      </c>
      <c r="AT263" s="5">
        <v>-54.896000000000001</v>
      </c>
      <c r="AU263" s="1">
        <v>-54.5</v>
      </c>
      <c r="AV263" s="4">
        <f>AT263-AU263</f>
        <v>-0.3960000000000008</v>
      </c>
      <c r="AW263" s="9">
        <v>43755</v>
      </c>
      <c r="AX263" s="4">
        <v>-0.38720028814905699</v>
      </c>
      <c r="AY263" s="6">
        <v>-0.1</v>
      </c>
      <c r="AZ263" s="4">
        <f>AX263-AY263</f>
        <v>-0.28720028814905696</v>
      </c>
    </row>
    <row r="264" spans="1:52" s="1" customFormat="1" x14ac:dyDescent="0.2">
      <c r="A264" s="2">
        <v>43770</v>
      </c>
      <c r="B264" s="1">
        <v>128</v>
      </c>
      <c r="C264" s="1">
        <v>89</v>
      </c>
      <c r="D264" s="1">
        <f>B264-C264</f>
        <v>39</v>
      </c>
      <c r="E264" s="2">
        <v>43770</v>
      </c>
      <c r="F264" s="1">
        <v>3.6</v>
      </c>
      <c r="G264" s="1">
        <v>3.6</v>
      </c>
      <c r="H264" s="1">
        <f>F264-G264</f>
        <v>0</v>
      </c>
      <c r="I264" s="2">
        <v>43782</v>
      </c>
      <c r="J264" s="1">
        <v>0.15722141385891525</v>
      </c>
      <c r="K264" s="1">
        <v>0.2</v>
      </c>
      <c r="L264" s="4">
        <f>J264-K264</f>
        <v>-4.2778586141084762E-2</v>
      </c>
      <c r="P264" s="4"/>
      <c r="Q264" s="2">
        <v>45030</v>
      </c>
      <c r="R264" s="4">
        <v>-0.98787240255836095</v>
      </c>
      <c r="S264" s="1">
        <v>-0.4</v>
      </c>
      <c r="T264" s="4">
        <f>R264-S264</f>
        <v>-0.58787240255836093</v>
      </c>
      <c r="U264" s="2">
        <v>43801</v>
      </c>
      <c r="V264" s="1" t="s">
        <v>52</v>
      </c>
      <c r="W264" s="1" t="s">
        <v>52</v>
      </c>
      <c r="X264" s="1">
        <v>-1.1000000000000001</v>
      </c>
      <c r="Y264" s="2">
        <v>44371</v>
      </c>
      <c r="Z264" s="5">
        <v>2.3217206899999998</v>
      </c>
      <c r="AA264" s="1">
        <v>2.8</v>
      </c>
      <c r="AB264" s="4">
        <f>Z264-AA264</f>
        <v>-0.47827931000000001</v>
      </c>
      <c r="AC264" s="2">
        <v>44341</v>
      </c>
      <c r="AD264" s="5">
        <v>0.86299999999999999</v>
      </c>
      <c r="AE264" s="6">
        <v>0.97</v>
      </c>
      <c r="AF264" s="7">
        <f>AD264-AE264</f>
        <v>-0.10699999999999998</v>
      </c>
      <c r="AG264" s="8">
        <v>43795</v>
      </c>
      <c r="AH264" s="6">
        <v>126.8</v>
      </c>
      <c r="AI264" s="1">
        <v>127</v>
      </c>
      <c r="AJ264" s="1">
        <f>AH264-AI264</f>
        <v>-0.20000000000000284</v>
      </c>
      <c r="AK264" s="2">
        <v>44778</v>
      </c>
      <c r="AL264" s="1">
        <v>0.46699875467000501</v>
      </c>
      <c r="AM264" s="1">
        <v>0.3</v>
      </c>
      <c r="AN264" s="4">
        <f>AL264-AM264</f>
        <v>0.16699875467000502</v>
      </c>
      <c r="AO264" s="2">
        <v>43782</v>
      </c>
      <c r="AP264" s="5">
        <v>0.35614257999999999</v>
      </c>
      <c r="AQ264" s="1">
        <v>0.3</v>
      </c>
      <c r="AR264" s="4">
        <f>AP264-AQ264</f>
        <v>5.6142579999999997E-2</v>
      </c>
      <c r="AS264" s="2">
        <v>43774</v>
      </c>
      <c r="AT264" s="5">
        <v>-52.45</v>
      </c>
      <c r="AU264" s="1">
        <v>-52.5</v>
      </c>
      <c r="AV264" s="4">
        <f>AT264-AU264</f>
        <v>4.9999999999997158E-2</v>
      </c>
      <c r="AW264" s="9">
        <v>43784</v>
      </c>
      <c r="AX264" s="4">
        <v>-0.84183440699307299</v>
      </c>
      <c r="AY264" s="6">
        <v>-0.4</v>
      </c>
      <c r="AZ264" s="4">
        <f>AX264-AY264</f>
        <v>-0.44183440699307297</v>
      </c>
    </row>
    <row r="265" spans="1:52" s="1" customFormat="1" x14ac:dyDescent="0.2">
      <c r="A265" s="2">
        <v>43805</v>
      </c>
      <c r="B265" s="1">
        <v>266</v>
      </c>
      <c r="C265" s="1">
        <v>180</v>
      </c>
      <c r="D265" s="1">
        <f>B265-C265</f>
        <v>86</v>
      </c>
      <c r="E265" s="2">
        <v>43805</v>
      </c>
      <c r="F265" s="1">
        <v>3.5</v>
      </c>
      <c r="G265" s="1">
        <v>3.6</v>
      </c>
      <c r="H265" s="1">
        <f>F265-G265</f>
        <v>-0.10000000000000009</v>
      </c>
      <c r="I265" s="2">
        <v>43810</v>
      </c>
      <c r="J265" s="1">
        <v>0.22980178181282299</v>
      </c>
      <c r="K265" s="1">
        <v>0.2</v>
      </c>
      <c r="L265" s="4">
        <f>J265-K265</f>
        <v>2.9801781812822975E-2</v>
      </c>
      <c r="P265" s="4"/>
      <c r="Q265" s="2">
        <v>45062</v>
      </c>
      <c r="R265" s="4">
        <v>0.42053400353348003</v>
      </c>
      <c r="S265" s="1">
        <v>0.8</v>
      </c>
      <c r="T265" s="4">
        <f>R265-S265</f>
        <v>-0.37946599646652002</v>
      </c>
      <c r="U265" s="2">
        <v>43833</v>
      </c>
      <c r="V265" s="1" t="s">
        <v>52</v>
      </c>
      <c r="W265" s="1" t="s">
        <v>52</v>
      </c>
      <c r="X265" s="1">
        <v>-1.8</v>
      </c>
      <c r="Y265" s="2">
        <v>44404</v>
      </c>
      <c r="Z265" s="5">
        <v>0.82617136000000002</v>
      </c>
      <c r="AA265" s="1">
        <v>2.1</v>
      </c>
      <c r="AB265" s="4">
        <f>Z265-AA265</f>
        <v>-1.2738286400000001</v>
      </c>
      <c r="AC265" s="2">
        <v>44370</v>
      </c>
      <c r="AD265" s="5">
        <v>0.76900000000000002</v>
      </c>
      <c r="AE265" s="6">
        <v>0.87</v>
      </c>
      <c r="AF265" s="7">
        <f>AD265-AE265</f>
        <v>-0.10099999999999998</v>
      </c>
      <c r="AG265" s="8">
        <v>43830</v>
      </c>
      <c r="AH265" s="6">
        <v>128.19999999999999</v>
      </c>
      <c r="AI265" s="1">
        <v>128.19999999999999</v>
      </c>
      <c r="AJ265" s="1">
        <f>AH265-AI265</f>
        <v>0</v>
      </c>
      <c r="AK265" s="2">
        <v>44806</v>
      </c>
      <c r="AL265" s="1">
        <v>0.30998140111593703</v>
      </c>
      <c r="AM265" s="1">
        <v>0.4</v>
      </c>
      <c r="AN265" s="4">
        <f>AL265-AM265</f>
        <v>-9.0018598884062995E-2</v>
      </c>
      <c r="AO265" s="2">
        <v>43810</v>
      </c>
      <c r="AP265" s="5">
        <v>0.2584823</v>
      </c>
      <c r="AQ265" s="1">
        <v>0.2</v>
      </c>
      <c r="AR265" s="4">
        <f>AP265-AQ265</f>
        <v>5.8482299999999987E-2</v>
      </c>
      <c r="AS265" s="2">
        <v>43804</v>
      </c>
      <c r="AT265" s="5">
        <v>-47.198999999999998</v>
      </c>
      <c r="AU265" s="1">
        <v>-48.7</v>
      </c>
      <c r="AV265" s="4">
        <f>AT265-AU265</f>
        <v>1.5010000000000048</v>
      </c>
      <c r="AW265" s="9">
        <v>43816</v>
      </c>
      <c r="AX265" s="4">
        <v>1.0953214482245699</v>
      </c>
      <c r="AY265" s="6">
        <v>0.8</v>
      </c>
      <c r="AZ265" s="4">
        <f>AX265-AY265</f>
        <v>0.29532144822456985</v>
      </c>
    </row>
    <row r="266" spans="1:52" s="1" customFormat="1" x14ac:dyDescent="0.2">
      <c r="A266" s="2">
        <v>43840</v>
      </c>
      <c r="B266" s="1">
        <v>145</v>
      </c>
      <c r="C266" s="1">
        <v>164</v>
      </c>
      <c r="D266" s="1">
        <f>B266-C266</f>
        <v>-19</v>
      </c>
      <c r="E266" s="2">
        <v>43840</v>
      </c>
      <c r="F266" s="1">
        <v>3.5</v>
      </c>
      <c r="G266" s="1">
        <v>3.5</v>
      </c>
      <c r="H266" s="1">
        <f>F266-G266</f>
        <v>0</v>
      </c>
      <c r="I266" s="2">
        <v>43844</v>
      </c>
      <c r="J266" s="1">
        <v>0.11331978013703325</v>
      </c>
      <c r="K266" s="1">
        <v>0.2</v>
      </c>
      <c r="L266" s="4">
        <f>J266-K266</f>
        <v>-8.6680219862966756E-2</v>
      </c>
      <c r="P266" s="4"/>
      <c r="Q266" s="2">
        <v>45092</v>
      </c>
      <c r="R266" s="4">
        <v>0.34492182989799902</v>
      </c>
      <c r="S266" s="1">
        <v>-0.1</v>
      </c>
      <c r="T266" s="4">
        <f>R266-S266</f>
        <v>0.444921829897999</v>
      </c>
      <c r="U266" s="2">
        <v>43864</v>
      </c>
      <c r="V266" s="1" t="s">
        <v>52</v>
      </c>
      <c r="W266" s="1" t="s">
        <v>52</v>
      </c>
      <c r="X266" s="1">
        <v>2.4</v>
      </c>
      <c r="Y266" s="2">
        <v>44433</v>
      </c>
      <c r="Z266" s="5">
        <v>-0.14132030000000001</v>
      </c>
      <c r="AA266" s="1">
        <v>-0.3</v>
      </c>
      <c r="AB266" s="4">
        <f>Z266-AA266</f>
        <v>0.15867969999999998</v>
      </c>
      <c r="AC266" s="2">
        <v>44403</v>
      </c>
      <c r="AD266" s="5">
        <v>0.67600000000000005</v>
      </c>
      <c r="AE266" s="6">
        <v>0.8</v>
      </c>
      <c r="AF266" s="7">
        <f>AD266-AE266</f>
        <v>-0.124</v>
      </c>
      <c r="AG266" s="8">
        <v>43858</v>
      </c>
      <c r="AH266" s="6">
        <v>130.4</v>
      </c>
      <c r="AI266" s="1">
        <v>128</v>
      </c>
      <c r="AJ266" s="1">
        <f>AH266-AI266</f>
        <v>2.4000000000000057</v>
      </c>
      <c r="AK266" s="2">
        <v>44841</v>
      </c>
      <c r="AL266" s="1">
        <v>0.309023485784924</v>
      </c>
      <c r="AM266" s="1">
        <v>0.3</v>
      </c>
      <c r="AN266" s="4">
        <f>AL266-AM266</f>
        <v>9.0234857849240124E-3</v>
      </c>
      <c r="AO266" s="2">
        <v>43844</v>
      </c>
      <c r="AP266" s="5">
        <v>0.21904659000000001</v>
      </c>
      <c r="AQ266" s="1">
        <v>0.3</v>
      </c>
      <c r="AR266" s="4">
        <f>AP266-AQ266</f>
        <v>-8.0953409999999976E-2</v>
      </c>
      <c r="AS266" s="2">
        <v>43837</v>
      </c>
      <c r="AT266" s="5">
        <v>-43.085999999999999</v>
      </c>
      <c r="AU266" s="1">
        <v>-43.8</v>
      </c>
      <c r="AV266" s="4">
        <f>AT266-AU266</f>
        <v>0.71399999999999864</v>
      </c>
      <c r="AW266" s="9">
        <v>43847</v>
      </c>
      <c r="AX266" s="4">
        <v>-0.29547009629427201</v>
      </c>
      <c r="AY266" s="6">
        <v>-0.2</v>
      </c>
      <c r="AZ266" s="4">
        <f>AX266-AY266</f>
        <v>-9.5470096294272E-2</v>
      </c>
    </row>
    <row r="267" spans="1:52" s="1" customFormat="1" x14ac:dyDescent="0.2">
      <c r="A267" s="2">
        <v>43868</v>
      </c>
      <c r="B267" s="1">
        <v>225</v>
      </c>
      <c r="C267" s="1">
        <v>160</v>
      </c>
      <c r="D267" s="1">
        <f>B267-C267</f>
        <v>65</v>
      </c>
      <c r="E267" s="2">
        <v>43868</v>
      </c>
      <c r="F267" s="1">
        <v>3.6</v>
      </c>
      <c r="G267" s="1">
        <v>3.5</v>
      </c>
      <c r="H267" s="1">
        <f>F267-G267</f>
        <v>0.10000000000000009</v>
      </c>
      <c r="I267" s="2">
        <v>43874</v>
      </c>
      <c r="J267" s="1">
        <v>0.20870860142674208</v>
      </c>
      <c r="K267" s="1">
        <v>0.2</v>
      </c>
      <c r="L267" s="4">
        <f>J267-K267</f>
        <v>8.7086014267420686E-3</v>
      </c>
      <c r="P267" s="4"/>
      <c r="Q267" s="2">
        <v>45125</v>
      </c>
      <c r="R267" s="4">
        <v>0.19443124501388401</v>
      </c>
      <c r="S267" s="1">
        <v>0.5</v>
      </c>
      <c r="T267" s="4">
        <f>R267-S267</f>
        <v>-0.30556875498611602</v>
      </c>
      <c r="U267" s="2">
        <v>43892</v>
      </c>
      <c r="V267" s="1" t="s">
        <v>52</v>
      </c>
      <c r="W267" s="1" t="s">
        <v>52</v>
      </c>
      <c r="X267" s="1">
        <v>-0.4</v>
      </c>
      <c r="Y267" s="2">
        <v>44466</v>
      </c>
      <c r="Z267" s="5">
        <v>1.7921507000000001</v>
      </c>
      <c r="AA267" s="1">
        <v>0.7</v>
      </c>
      <c r="AB267" s="4">
        <f>Z267-AA267</f>
        <v>1.0921507000000001</v>
      </c>
      <c r="AC267" s="2">
        <v>44432</v>
      </c>
      <c r="AD267" s="5">
        <v>0.70799999999999996</v>
      </c>
      <c r="AE267" s="6">
        <v>0.7</v>
      </c>
      <c r="AF267" s="7">
        <f>AD267-AE267</f>
        <v>8.0000000000000071E-3</v>
      </c>
      <c r="AG267" s="8">
        <v>43886</v>
      </c>
      <c r="AH267" s="6">
        <v>132.6</v>
      </c>
      <c r="AI267" s="1">
        <v>132</v>
      </c>
      <c r="AJ267" s="1">
        <f>AH267-AI267</f>
        <v>0.59999999999999432</v>
      </c>
      <c r="AK267" s="2">
        <v>44869</v>
      </c>
      <c r="AL267" s="1">
        <v>0.36968576709795797</v>
      </c>
      <c r="AM267" s="1">
        <v>0.3</v>
      </c>
      <c r="AN267" s="4">
        <f>AL267-AM267</f>
        <v>6.9685767097957985E-2</v>
      </c>
      <c r="AO267" s="2">
        <v>43874</v>
      </c>
      <c r="AP267" s="5">
        <v>0.14548606</v>
      </c>
      <c r="AQ267" s="1">
        <v>0.2</v>
      </c>
      <c r="AR267" s="4">
        <f>AP267-AQ267</f>
        <v>-5.4513940000000011E-2</v>
      </c>
      <c r="AS267" s="2">
        <v>43866</v>
      </c>
      <c r="AT267" s="5">
        <v>-48.88</v>
      </c>
      <c r="AU267" s="1">
        <v>-48.2</v>
      </c>
      <c r="AV267" s="4">
        <f>AT267-AU267</f>
        <v>-0.67999999999999972</v>
      </c>
      <c r="AW267" s="9">
        <v>43875</v>
      </c>
      <c r="AX267" s="4">
        <v>-0.308652400431983</v>
      </c>
      <c r="AY267" s="6">
        <v>-0.2</v>
      </c>
      <c r="AZ267" s="4">
        <f>AX267-AY267</f>
        <v>-0.10865240043198299</v>
      </c>
    </row>
    <row r="268" spans="1:52" s="1" customFormat="1" x14ac:dyDescent="0.2">
      <c r="A268" s="2">
        <v>43896</v>
      </c>
      <c r="B268" s="1">
        <v>273</v>
      </c>
      <c r="C268" s="1">
        <v>175</v>
      </c>
      <c r="D268" s="1">
        <f>B268-C268</f>
        <v>98</v>
      </c>
      <c r="E268" s="2">
        <v>43896</v>
      </c>
      <c r="F268" s="1">
        <v>3.5</v>
      </c>
      <c r="G268" s="1">
        <v>3.6</v>
      </c>
      <c r="H268" s="1">
        <f>F268-G268</f>
        <v>-0.10000000000000009</v>
      </c>
      <c r="I268" s="2">
        <v>43901</v>
      </c>
      <c r="J268" s="1">
        <v>0.2229093802068457</v>
      </c>
      <c r="K268" s="1">
        <v>0.2</v>
      </c>
      <c r="L268" s="4">
        <f>J268-K268</f>
        <v>2.2909380206845686E-2</v>
      </c>
      <c r="P268" s="4"/>
      <c r="Q268" s="2">
        <v>45153</v>
      </c>
      <c r="R268" s="4">
        <v>0.72933783877612401</v>
      </c>
      <c r="S268" s="1">
        <v>0.4</v>
      </c>
      <c r="T268" s="4">
        <f>R268-S268</f>
        <v>0.32933783877612399</v>
      </c>
      <c r="U268" s="2">
        <v>43922</v>
      </c>
      <c r="V268" s="1" t="s">
        <v>52</v>
      </c>
      <c r="W268" s="1" t="s">
        <v>52</v>
      </c>
      <c r="X268" s="1">
        <v>4.0999999999999996</v>
      </c>
      <c r="Y268" s="2">
        <v>44496</v>
      </c>
      <c r="Z268" s="5">
        <v>-0.38088050000000001</v>
      </c>
      <c r="AA268" s="1">
        <v>-1.1000000000000001</v>
      </c>
      <c r="AB268" s="4">
        <f>Z268-AA268</f>
        <v>0.71911950000000013</v>
      </c>
      <c r="AC268" s="2">
        <v>44463</v>
      </c>
      <c r="AD268" s="5">
        <v>0.74</v>
      </c>
      <c r="AE268" s="6">
        <v>0.71399999999999997</v>
      </c>
      <c r="AF268" s="7">
        <f>AD268-AE268</f>
        <v>2.6000000000000023E-2</v>
      </c>
      <c r="AG268" s="8">
        <v>43921</v>
      </c>
      <c r="AH268" s="6">
        <v>118.8</v>
      </c>
      <c r="AI268" s="1">
        <v>110</v>
      </c>
      <c r="AJ268" s="1">
        <f>AH268-AI268</f>
        <v>8.7999999999999972</v>
      </c>
      <c r="AK268" s="2">
        <v>44897</v>
      </c>
      <c r="AL268" s="1">
        <v>0.55147058823529305</v>
      </c>
      <c r="AM268" s="1">
        <v>0.3</v>
      </c>
      <c r="AN268" s="4">
        <f>AL268-AM268</f>
        <v>0.25147058823529306</v>
      </c>
      <c r="AO268" s="2">
        <v>43901</v>
      </c>
      <c r="AP268" s="5">
        <v>8.8864849999999995E-2</v>
      </c>
      <c r="AQ268" s="1">
        <v>0</v>
      </c>
      <c r="AR268" s="4">
        <f>AP268-AQ268</f>
        <v>8.8864849999999995E-2</v>
      </c>
      <c r="AS268" s="2">
        <v>43896</v>
      </c>
      <c r="AT268" s="5">
        <v>-45.338000000000001</v>
      </c>
      <c r="AU268" s="1">
        <v>-46.1</v>
      </c>
      <c r="AV268" s="4">
        <f>AT268-AU268</f>
        <v>0.76200000000000045</v>
      </c>
      <c r="AW268" s="9">
        <v>43907</v>
      </c>
      <c r="AX268" s="4">
        <v>0.55431548642972095</v>
      </c>
      <c r="AY268" s="6">
        <v>0.4</v>
      </c>
      <c r="AZ268" s="4">
        <f>AX268-AY268</f>
        <v>0.15431548642972093</v>
      </c>
    </row>
    <row r="269" spans="1:52" s="1" customFormat="1" x14ac:dyDescent="0.2">
      <c r="A269" s="2">
        <v>43924</v>
      </c>
      <c r="B269" s="1">
        <v>-701</v>
      </c>
      <c r="C269" s="1">
        <v>-100</v>
      </c>
      <c r="D269" s="1">
        <f>B269-C269</f>
        <v>-601</v>
      </c>
      <c r="E269" s="2">
        <v>43924</v>
      </c>
      <c r="F269" s="1">
        <v>4.4000000000000004</v>
      </c>
      <c r="G269" s="1">
        <v>3.8</v>
      </c>
      <c r="H269" s="1">
        <f>F269-G269</f>
        <v>0.60000000000000053</v>
      </c>
      <c r="I269" s="2">
        <v>43931</v>
      </c>
      <c r="J269" s="1">
        <v>-0.10296925899576038</v>
      </c>
      <c r="K269" s="1">
        <v>0.1</v>
      </c>
      <c r="L269" s="4">
        <f>J269-K269</f>
        <v>-0.2029692589957604</v>
      </c>
      <c r="P269" s="4"/>
      <c r="Q269" s="2">
        <v>45183</v>
      </c>
      <c r="R269" s="4">
        <v>0.56064284355051697</v>
      </c>
      <c r="S269" s="1">
        <v>0.2</v>
      </c>
      <c r="T269" s="4">
        <f>R269-S269</f>
        <v>0.36064284355051696</v>
      </c>
      <c r="U269" s="2">
        <v>43952</v>
      </c>
      <c r="V269" s="1" t="s">
        <v>52</v>
      </c>
      <c r="W269" s="1" t="s">
        <v>52</v>
      </c>
      <c r="X269" s="1">
        <v>4.5999999999999996</v>
      </c>
      <c r="Y269" s="2">
        <v>44524</v>
      </c>
      <c r="Z269" s="5">
        <v>-0.46002700000000002</v>
      </c>
      <c r="AA269" s="1">
        <v>0.2</v>
      </c>
      <c r="AB269" s="4">
        <f>Z269-AA269</f>
        <v>-0.66002700000000003</v>
      </c>
      <c r="AC269" s="2">
        <v>44495</v>
      </c>
      <c r="AD269" s="5">
        <v>0.8</v>
      </c>
      <c r="AE269" s="6">
        <v>0.76</v>
      </c>
      <c r="AF269" s="7">
        <f>AD269-AE269</f>
        <v>4.0000000000000036E-2</v>
      </c>
      <c r="AG269" s="8">
        <v>43949</v>
      </c>
      <c r="AH269" s="6">
        <v>85.7</v>
      </c>
      <c r="AI269" s="1">
        <v>87.9</v>
      </c>
      <c r="AJ269" s="1">
        <f>AH269-AI269</f>
        <v>-2.2000000000000028</v>
      </c>
      <c r="AK269" s="2">
        <v>44932</v>
      </c>
      <c r="AL269" s="1">
        <v>0.27497708524290598</v>
      </c>
      <c r="AM269" s="1">
        <v>0.4</v>
      </c>
      <c r="AN269" s="4">
        <f>AL269-AM269</f>
        <v>-0.12502291475709404</v>
      </c>
      <c r="AO269" s="2">
        <v>43931</v>
      </c>
      <c r="AP269" s="5">
        <v>-0.42347040000000002</v>
      </c>
      <c r="AQ269" s="1">
        <v>-0.3</v>
      </c>
      <c r="AR269" s="4">
        <f>AP269-AQ269</f>
        <v>-0.12347040000000004</v>
      </c>
      <c r="AS269" s="2">
        <v>43923</v>
      </c>
      <c r="AT269" s="5">
        <v>-39.932000000000002</v>
      </c>
      <c r="AU269" s="1">
        <v>-40</v>
      </c>
      <c r="AV269" s="4">
        <f>AT269-AU269</f>
        <v>6.799999999999784E-2</v>
      </c>
      <c r="AW269" s="9">
        <v>43936</v>
      </c>
      <c r="AX269" s="4">
        <v>-5.4008919356207503</v>
      </c>
      <c r="AY269" s="6">
        <v>-4</v>
      </c>
      <c r="AZ269" s="4">
        <f>AX269-AY269</f>
        <v>-1.4008919356207503</v>
      </c>
    </row>
    <row r="270" spans="1:52" s="1" customFormat="1" x14ac:dyDescent="0.2">
      <c r="A270" s="2">
        <v>43959</v>
      </c>
      <c r="B270" s="1">
        <v>-20500</v>
      </c>
      <c r="C270" s="1">
        <v>-4250</v>
      </c>
      <c r="D270" s="1">
        <f>B270-C270</f>
        <v>-16250</v>
      </c>
      <c r="E270" s="2">
        <v>43959</v>
      </c>
      <c r="F270" s="1">
        <v>14.7</v>
      </c>
      <c r="G270" s="1">
        <v>19.8</v>
      </c>
      <c r="H270" s="1">
        <f>F270-G270</f>
        <v>-5.1000000000000014</v>
      </c>
      <c r="I270" s="2">
        <v>43963</v>
      </c>
      <c r="J270" s="1">
        <v>-0.44753462396222449</v>
      </c>
      <c r="K270" s="1">
        <v>-0.2</v>
      </c>
      <c r="L270" s="4">
        <f>J270-K270</f>
        <v>-0.24753462396222448</v>
      </c>
      <c r="P270" s="4"/>
      <c r="Q270" s="2">
        <v>45216</v>
      </c>
      <c r="R270" s="4">
        <v>0.71426326152122699</v>
      </c>
      <c r="S270" s="1">
        <v>0.3</v>
      </c>
      <c r="T270" s="4">
        <f>R270-S270</f>
        <v>0.414263261521227</v>
      </c>
      <c r="U270" s="2">
        <v>43983</v>
      </c>
      <c r="V270" s="1" t="s">
        <v>52</v>
      </c>
      <c r="W270" s="1" t="s">
        <v>52</v>
      </c>
      <c r="X270" s="1">
        <v>-0.5</v>
      </c>
      <c r="Y270" s="2">
        <v>44553</v>
      </c>
      <c r="Z270" s="5">
        <v>2.4899325299999999</v>
      </c>
      <c r="AA270" s="1">
        <v>1.6</v>
      </c>
      <c r="AB270" s="4">
        <f>Z270-AA270</f>
        <v>0.88993252999999983</v>
      </c>
      <c r="AC270" s="2">
        <v>44524</v>
      </c>
      <c r="AD270" s="5">
        <v>0.745</v>
      </c>
      <c r="AE270" s="6">
        <v>0.8</v>
      </c>
      <c r="AF270" s="7">
        <f>AD270-AE270</f>
        <v>-5.5000000000000049E-2</v>
      </c>
      <c r="AG270" s="8">
        <v>43977</v>
      </c>
      <c r="AH270" s="6">
        <v>85.9</v>
      </c>
      <c r="AI270" s="1">
        <v>87.5</v>
      </c>
      <c r="AJ270" s="1">
        <f>AH270-AI270</f>
        <v>-1.5999999999999943</v>
      </c>
      <c r="AK270" s="2">
        <v>44960</v>
      </c>
      <c r="AL270" s="1">
        <v>0.30367446097783601</v>
      </c>
      <c r="AM270" s="1">
        <v>0.3</v>
      </c>
      <c r="AN270" s="4">
        <f>AL270-AM270</f>
        <v>3.6744609778360249E-3</v>
      </c>
      <c r="AO270" s="2">
        <v>43963</v>
      </c>
      <c r="AP270" s="5">
        <v>-0.79510610000000004</v>
      </c>
      <c r="AQ270" s="1">
        <v>-0.8</v>
      </c>
      <c r="AR270" s="4">
        <f>AP270-AQ270</f>
        <v>4.8939000000000066E-3</v>
      </c>
      <c r="AS270" s="2">
        <v>43986</v>
      </c>
      <c r="AT270" s="5">
        <v>-42.34</v>
      </c>
      <c r="AU270" s="1">
        <v>-44</v>
      </c>
      <c r="AV270" s="4">
        <f>AT270-AU270</f>
        <v>1.6599999999999966</v>
      </c>
      <c r="AW270" s="9">
        <v>43966</v>
      </c>
      <c r="AX270" s="4">
        <v>-11.2477019195561</v>
      </c>
      <c r="AY270" s="6">
        <v>-11.5</v>
      </c>
      <c r="AZ270" s="4">
        <f>AX270-AY270</f>
        <v>0.25229808044390012</v>
      </c>
    </row>
    <row r="271" spans="1:52" s="1" customFormat="1" x14ac:dyDescent="0.2">
      <c r="A271" s="2">
        <v>43987</v>
      </c>
      <c r="B271" s="1">
        <v>2509</v>
      </c>
      <c r="C271" s="1">
        <v>-8000</v>
      </c>
      <c r="D271" s="1">
        <f>B271-C271</f>
        <v>10509</v>
      </c>
      <c r="E271" s="2">
        <v>43987</v>
      </c>
      <c r="F271" s="1">
        <v>13.3</v>
      </c>
      <c r="G271" s="1">
        <v>19.8</v>
      </c>
      <c r="H271" s="1">
        <f>F271-G271</f>
        <v>-6.5</v>
      </c>
      <c r="I271" s="2">
        <v>43992</v>
      </c>
      <c r="J271" s="1">
        <v>-6.0240737045427165E-2</v>
      </c>
      <c r="K271" s="1">
        <v>0</v>
      </c>
      <c r="L271" s="4">
        <f>J271-K271</f>
        <v>-6.0240737045427165E-2</v>
      </c>
      <c r="P271" s="4"/>
      <c r="Q271" s="2">
        <v>45245</v>
      </c>
      <c r="R271" s="4">
        <v>-0.10585219519314799</v>
      </c>
      <c r="S271" s="1">
        <v>-0.3</v>
      </c>
      <c r="T271" s="4">
        <f>R271-S271</f>
        <v>0.19414780480685201</v>
      </c>
      <c r="U271" s="2">
        <v>44013</v>
      </c>
      <c r="V271" s="1" t="s">
        <v>52</v>
      </c>
      <c r="W271" s="1" t="s">
        <v>52</v>
      </c>
      <c r="X271" s="1">
        <v>3.2</v>
      </c>
      <c r="Y271" s="2">
        <v>44588</v>
      </c>
      <c r="Z271" s="5">
        <v>-0.90457359999999998</v>
      </c>
      <c r="AA271" s="1">
        <v>-0.5</v>
      </c>
      <c r="AB271" s="4">
        <f>Z271-AA271</f>
        <v>-0.40457359999999998</v>
      </c>
      <c r="AC271" s="2">
        <v>44553</v>
      </c>
      <c r="AD271" s="5">
        <v>0.74399999999999999</v>
      </c>
      <c r="AE271" s="6">
        <v>0.77</v>
      </c>
      <c r="AF271" s="7">
        <f>AD271-AE271</f>
        <v>-2.6000000000000023E-2</v>
      </c>
      <c r="AG271" s="8">
        <v>44012</v>
      </c>
      <c r="AH271" s="6">
        <v>98.3</v>
      </c>
      <c r="AI271" s="1">
        <v>91.8</v>
      </c>
      <c r="AJ271" s="1">
        <f>AH271-AI271</f>
        <v>6.5</v>
      </c>
      <c r="AK271" s="2">
        <v>44995</v>
      </c>
      <c r="AL271" s="1">
        <v>0.24235080278705001</v>
      </c>
      <c r="AM271" s="1">
        <v>0.3</v>
      </c>
      <c r="AN271" s="4">
        <f>AL271-AM271</f>
        <v>-5.7649197212949976E-2</v>
      </c>
      <c r="AO271" s="2">
        <v>43992</v>
      </c>
      <c r="AP271" s="5">
        <v>-5.2363800000000002E-2</v>
      </c>
      <c r="AQ271" s="1">
        <v>0</v>
      </c>
      <c r="AR271" s="4">
        <f>AP271-AQ271</f>
        <v>-5.2363800000000002E-2</v>
      </c>
      <c r="AS271" s="2">
        <v>43986</v>
      </c>
      <c r="AT271" s="5">
        <v>-49.408000000000001</v>
      </c>
      <c r="AU271" s="1">
        <v>-49</v>
      </c>
      <c r="AV271" s="4">
        <f>AT271-AU271</f>
        <v>-0.40800000000000125</v>
      </c>
      <c r="AW271" s="9">
        <v>43998</v>
      </c>
      <c r="AX271" s="4">
        <v>1.38909733869543</v>
      </c>
      <c r="AY271" s="6">
        <v>2.9</v>
      </c>
      <c r="AZ271" s="4">
        <f>AX271-AY271</f>
        <v>-1.51090266130457</v>
      </c>
    </row>
    <row r="272" spans="1:52" s="1" customFormat="1" x14ac:dyDescent="0.2">
      <c r="A272" s="2">
        <v>44014</v>
      </c>
      <c r="B272" s="1">
        <v>4800</v>
      </c>
      <c r="C272" s="1">
        <v>3000</v>
      </c>
      <c r="D272" s="1">
        <f>B272-C272</f>
        <v>1800</v>
      </c>
      <c r="E272" s="2">
        <v>44014</v>
      </c>
      <c r="F272" s="1">
        <v>11.1</v>
      </c>
      <c r="G272" s="1">
        <v>12.3</v>
      </c>
      <c r="H272" s="1">
        <f>F272-G272</f>
        <v>-1.2000000000000011</v>
      </c>
      <c r="I272" s="2">
        <v>44026</v>
      </c>
      <c r="J272" s="1">
        <v>0.23508048869617873</v>
      </c>
      <c r="K272" s="1">
        <v>0.1</v>
      </c>
      <c r="L272" s="4">
        <f>J272-K272</f>
        <v>0.13508048869617872</v>
      </c>
      <c r="P272" s="4"/>
      <c r="Q272" s="2">
        <v>45274</v>
      </c>
      <c r="R272" s="4">
        <v>0.27623524329731602</v>
      </c>
      <c r="S272" s="1">
        <v>-0.1</v>
      </c>
      <c r="T272" s="4">
        <f>R272-S272</f>
        <v>0.37623524329731606</v>
      </c>
      <c r="U272" s="2">
        <v>44046</v>
      </c>
      <c r="V272" s="1" t="s">
        <v>52</v>
      </c>
      <c r="W272" s="1" t="s">
        <v>52</v>
      </c>
      <c r="X272" s="1">
        <v>0.6</v>
      </c>
      <c r="Y272" s="2">
        <v>44617</v>
      </c>
      <c r="Z272" s="5">
        <v>1.55746706</v>
      </c>
      <c r="AA272" s="1">
        <v>0.8</v>
      </c>
      <c r="AB272" s="4">
        <f>Z272-AA272</f>
        <v>0.75746705999999997</v>
      </c>
      <c r="AC272" s="2">
        <v>44587</v>
      </c>
      <c r="AD272" s="5">
        <v>0.81100000000000005</v>
      </c>
      <c r="AE272" s="6">
        <v>0.76</v>
      </c>
      <c r="AF272" s="7">
        <f>AD272-AE272</f>
        <v>5.1000000000000045E-2</v>
      </c>
      <c r="AG272" s="8">
        <v>44040</v>
      </c>
      <c r="AH272" s="6">
        <v>91.7</v>
      </c>
      <c r="AI272" s="1">
        <v>94.5</v>
      </c>
      <c r="AJ272" s="1">
        <f>AH272-AI272</f>
        <v>-2.7999999999999972</v>
      </c>
      <c r="AK272" s="2">
        <v>45023</v>
      </c>
      <c r="AL272" s="1">
        <v>0.27198549410696898</v>
      </c>
      <c r="AM272" s="1">
        <v>0.3</v>
      </c>
      <c r="AN272" s="4">
        <f>AL272-AM272</f>
        <v>-2.8014505893031005E-2</v>
      </c>
      <c r="AO272" s="2">
        <v>44026</v>
      </c>
      <c r="AP272" s="5">
        <v>0.56535610000000003</v>
      </c>
      <c r="AQ272" s="1">
        <v>0.5</v>
      </c>
      <c r="AR272" s="4">
        <f>AP272-AQ272</f>
        <v>6.5356100000000028E-2</v>
      </c>
      <c r="AS272" s="2">
        <v>44014</v>
      </c>
      <c r="AT272" s="5">
        <v>-54.600999999999999</v>
      </c>
      <c r="AU272" s="1">
        <v>-53</v>
      </c>
      <c r="AV272" s="4">
        <f>AT272-AU272</f>
        <v>-1.6009999999999991</v>
      </c>
      <c r="AW272" s="9">
        <v>44027</v>
      </c>
      <c r="AX272" s="4">
        <v>5.4138625512961003</v>
      </c>
      <c r="AY272" s="6">
        <v>4.3</v>
      </c>
      <c r="AZ272" s="4">
        <f>AX272-AY272</f>
        <v>1.1138625512961005</v>
      </c>
    </row>
    <row r="273" spans="1:52" s="1" customFormat="1" x14ac:dyDescent="0.2">
      <c r="A273" s="2">
        <v>44050</v>
      </c>
      <c r="B273" s="1">
        <v>1763</v>
      </c>
      <c r="C273" s="1">
        <v>1600</v>
      </c>
      <c r="D273" s="1">
        <f>B273-C273</f>
        <v>163</v>
      </c>
      <c r="E273" s="2">
        <v>44050</v>
      </c>
      <c r="F273" s="1">
        <v>10.199999999999999</v>
      </c>
      <c r="G273" s="1">
        <v>10.5</v>
      </c>
      <c r="H273" s="1">
        <f>F273-G273</f>
        <v>-0.30000000000000071</v>
      </c>
      <c r="I273" s="2">
        <v>44055</v>
      </c>
      <c r="J273" s="1">
        <v>0.62014921165879666</v>
      </c>
      <c r="K273" s="1">
        <v>0.2</v>
      </c>
      <c r="L273" s="4">
        <f>J273-K273</f>
        <v>0.42014921165879665</v>
      </c>
      <c r="P273" s="4"/>
      <c r="Q273" s="2">
        <v>45308</v>
      </c>
      <c r="R273" s="4">
        <v>0.55369762075749895</v>
      </c>
      <c r="S273" s="1">
        <v>0.4</v>
      </c>
      <c r="T273" s="4">
        <f>R273-S273</f>
        <v>0.15369762075749893</v>
      </c>
      <c r="U273" s="2">
        <v>44075</v>
      </c>
      <c r="V273" s="1" t="s">
        <v>52</v>
      </c>
      <c r="W273" s="1" t="s">
        <v>52</v>
      </c>
      <c r="X273" s="1">
        <v>1.5</v>
      </c>
      <c r="Y273" s="2">
        <v>44644</v>
      </c>
      <c r="Z273" s="5">
        <v>-2.1793407999999999</v>
      </c>
      <c r="AA273" s="1">
        <v>-0.5</v>
      </c>
      <c r="AB273" s="4">
        <f>Z273-AA273</f>
        <v>-1.6793407999999999</v>
      </c>
      <c r="AC273" s="2">
        <v>44616</v>
      </c>
      <c r="AD273" s="5">
        <v>0.80100000000000005</v>
      </c>
      <c r="AE273" s="6">
        <v>0.80600000000000005</v>
      </c>
      <c r="AF273" s="7">
        <f>AD273-AE273</f>
        <v>-5.0000000000000044E-3</v>
      </c>
      <c r="AG273" s="8">
        <v>44068</v>
      </c>
      <c r="AH273" s="6">
        <v>86.3</v>
      </c>
      <c r="AI273" s="1">
        <v>93</v>
      </c>
      <c r="AJ273" s="1">
        <f>AH273-AI273</f>
        <v>-6.7000000000000028</v>
      </c>
      <c r="AK273" s="2">
        <v>45051</v>
      </c>
      <c r="AL273" s="1">
        <v>0.481927710843363</v>
      </c>
      <c r="AM273" s="1">
        <v>0.3</v>
      </c>
      <c r="AN273" s="4">
        <f>AL273-AM273</f>
        <v>0.18192771084336301</v>
      </c>
      <c r="AO273" s="2">
        <v>44055</v>
      </c>
      <c r="AP273" s="5">
        <v>0.58667102000000004</v>
      </c>
      <c r="AQ273" s="1">
        <v>0.3</v>
      </c>
      <c r="AR273" s="4">
        <f>AP273-AQ273</f>
        <v>0.28667102000000005</v>
      </c>
      <c r="AS273" s="2">
        <v>44048</v>
      </c>
      <c r="AT273" s="5">
        <v>-50.695</v>
      </c>
      <c r="AU273" s="1">
        <v>-50.1</v>
      </c>
      <c r="AV273" s="4">
        <f>AT273-AU273</f>
        <v>-0.59499999999999886</v>
      </c>
      <c r="AW273" s="9">
        <v>44057</v>
      </c>
      <c r="AX273" s="4">
        <v>3.0281056339839001</v>
      </c>
      <c r="AY273" s="6">
        <v>3</v>
      </c>
      <c r="AZ273" s="4">
        <f>AX273-AY273</f>
        <v>2.8105633983900091E-2</v>
      </c>
    </row>
    <row r="274" spans="1:52" s="1" customFormat="1" x14ac:dyDescent="0.2">
      <c r="A274" s="2">
        <v>44078</v>
      </c>
      <c r="B274" s="1">
        <v>1371</v>
      </c>
      <c r="C274" s="1">
        <v>1400</v>
      </c>
      <c r="D274" s="1">
        <f>B274-C274</f>
        <v>-29</v>
      </c>
      <c r="E274" s="2">
        <v>44078</v>
      </c>
      <c r="F274" s="1">
        <v>8.4</v>
      </c>
      <c r="G274" s="1">
        <v>9.8000000000000007</v>
      </c>
      <c r="H274" s="1">
        <f>F274-G274</f>
        <v>-1.4000000000000004</v>
      </c>
      <c r="I274" s="2">
        <v>44085</v>
      </c>
      <c r="J274" s="1">
        <v>0.3854845638085424</v>
      </c>
      <c r="K274" s="1">
        <v>0.2</v>
      </c>
      <c r="L274" s="4">
        <f>J274-K274</f>
        <v>0.18548456380854239</v>
      </c>
      <c r="P274" s="4"/>
      <c r="Q274" s="2">
        <v>45337</v>
      </c>
      <c r="R274" s="4">
        <v>-0.83392336231555697</v>
      </c>
      <c r="S274" s="1">
        <v>-0.1</v>
      </c>
      <c r="T274" s="4">
        <f>R274-S274</f>
        <v>-0.73392336231555699</v>
      </c>
      <c r="U274" s="2">
        <v>44105</v>
      </c>
      <c r="V274" s="1" t="s">
        <v>52</v>
      </c>
      <c r="W274" s="1" t="s">
        <v>52</v>
      </c>
      <c r="X274" s="1">
        <v>-1</v>
      </c>
      <c r="Y274" s="2">
        <v>44677</v>
      </c>
      <c r="Z274" s="5">
        <v>0.84152861000000001</v>
      </c>
      <c r="AA274" s="1">
        <v>1</v>
      </c>
      <c r="AB274" s="4">
        <f>Z274-AA274</f>
        <v>-0.15847138999999999</v>
      </c>
      <c r="AC274" s="2">
        <v>44643</v>
      </c>
      <c r="AD274" s="5">
        <v>0.77200000000000002</v>
      </c>
      <c r="AE274" s="6">
        <v>0.81</v>
      </c>
      <c r="AF274" s="7">
        <f>AD274-AE274</f>
        <v>-3.8000000000000034E-2</v>
      </c>
      <c r="AG274" s="8">
        <v>44103</v>
      </c>
      <c r="AH274" s="6">
        <v>101.3</v>
      </c>
      <c r="AI274" s="1">
        <v>89.5</v>
      </c>
      <c r="AJ274" s="1">
        <f>AH274-AI274</f>
        <v>11.799999999999997</v>
      </c>
      <c r="AK274" s="2">
        <v>45079</v>
      </c>
      <c r="AL274" s="1">
        <v>0.33003300330032798</v>
      </c>
      <c r="AM274" s="1">
        <v>0.3</v>
      </c>
      <c r="AN274" s="4">
        <f>AL274-AM274</f>
        <v>3.0033003300327987E-2</v>
      </c>
      <c r="AO274" s="2">
        <v>44085</v>
      </c>
      <c r="AP274" s="5">
        <v>0.37028018000000001</v>
      </c>
      <c r="AQ274" s="1">
        <v>0.3</v>
      </c>
      <c r="AR274" s="4">
        <f>AP274-AQ274</f>
        <v>7.0280180000000025E-2</v>
      </c>
      <c r="AS274" s="2">
        <v>44077</v>
      </c>
      <c r="AT274" s="5">
        <v>-63.556193</v>
      </c>
      <c r="AU274" s="1">
        <v>-58</v>
      </c>
      <c r="AV274" s="4">
        <f>AT274-AU274</f>
        <v>-5.5561930000000004</v>
      </c>
      <c r="AW274" s="9">
        <v>44089</v>
      </c>
      <c r="AX274" s="4">
        <v>0.36478100762337601</v>
      </c>
      <c r="AY274" s="6">
        <v>1</v>
      </c>
      <c r="AZ274" s="4">
        <f>AX274-AY274</f>
        <v>-0.63521899237662405</v>
      </c>
    </row>
    <row r="275" spans="1:52" s="1" customFormat="1" x14ac:dyDescent="0.2">
      <c r="A275" s="2">
        <v>44106</v>
      </c>
      <c r="B275" s="1">
        <v>661</v>
      </c>
      <c r="C275" s="1">
        <v>850</v>
      </c>
      <c r="D275" s="1">
        <f>B275-C275</f>
        <v>-189</v>
      </c>
      <c r="E275" s="2">
        <v>44106</v>
      </c>
      <c r="F275" s="1">
        <v>7.9</v>
      </c>
      <c r="G275" s="1">
        <v>8.1999999999999993</v>
      </c>
      <c r="H275" s="1">
        <f>F275-G275</f>
        <v>-0.29999999999999893</v>
      </c>
      <c r="I275" s="2">
        <v>44117</v>
      </c>
      <c r="J275" s="1">
        <v>0.19237424045663612</v>
      </c>
      <c r="K275" s="1">
        <v>0.2</v>
      </c>
      <c r="L275" s="4">
        <f>J275-K275</f>
        <v>-7.6257595433638914E-3</v>
      </c>
      <c r="P275" s="4"/>
      <c r="Q275" s="2">
        <v>45365</v>
      </c>
      <c r="R275" s="4">
        <v>0.57656700779377301</v>
      </c>
      <c r="S275" s="1">
        <v>0.8</v>
      </c>
      <c r="T275" s="4">
        <f>R275-S275</f>
        <v>-0.22343299220622703</v>
      </c>
      <c r="U275" s="2">
        <v>44137</v>
      </c>
      <c r="V275" s="1" t="s">
        <v>52</v>
      </c>
      <c r="W275" s="1" t="s">
        <v>52</v>
      </c>
      <c r="X275" s="1">
        <v>3.5</v>
      </c>
      <c r="Y275" s="2">
        <v>44706</v>
      </c>
      <c r="Z275" s="5">
        <v>0.44406083000000002</v>
      </c>
      <c r="AA275" s="1">
        <v>0.6</v>
      </c>
      <c r="AB275" s="4">
        <f>Z275-AA275</f>
        <v>-0.15593916999999996</v>
      </c>
      <c r="AC275" s="2">
        <v>44677</v>
      </c>
      <c r="AD275" s="5">
        <v>0.76300000000000001</v>
      </c>
      <c r="AE275" s="6">
        <v>0.76500000000000001</v>
      </c>
      <c r="AF275" s="7">
        <f>AD275-AE275</f>
        <v>-2.0000000000000018E-3</v>
      </c>
      <c r="AG275" s="8">
        <v>44131</v>
      </c>
      <c r="AH275" s="6">
        <v>101.4</v>
      </c>
      <c r="AI275" s="1">
        <v>102</v>
      </c>
      <c r="AJ275" s="1">
        <f>AH275-AI275</f>
        <v>-0.59999999999999432</v>
      </c>
      <c r="AK275" s="2">
        <v>45114</v>
      </c>
      <c r="AL275" s="1">
        <v>0.35863717872085299</v>
      </c>
      <c r="AM275" s="1">
        <v>0.3</v>
      </c>
      <c r="AN275" s="4">
        <f>AL275-AM275</f>
        <v>5.8637178720853E-2</v>
      </c>
      <c r="AO275" s="2">
        <v>44117</v>
      </c>
      <c r="AP275" s="5">
        <v>0.20332639</v>
      </c>
      <c r="AQ275" s="1">
        <v>0.2</v>
      </c>
      <c r="AR275" s="4">
        <f>AP275-AQ275</f>
        <v>3.3263899999999846E-3</v>
      </c>
      <c r="AS275" s="2">
        <v>44110</v>
      </c>
      <c r="AT275" s="5">
        <v>-67.102000000000004</v>
      </c>
      <c r="AU275" s="1">
        <v>-66.099999999999994</v>
      </c>
      <c r="AV275" s="4">
        <f>AT275-AU275</f>
        <v>-1.0020000000000095</v>
      </c>
      <c r="AW275" s="9">
        <v>44120</v>
      </c>
      <c r="AX275" s="4">
        <v>-0.63181039031471498</v>
      </c>
      <c r="AY275" s="6">
        <v>0.5</v>
      </c>
      <c r="AZ275" s="4">
        <f>AX275-AY275</f>
        <v>-1.131810390314715</v>
      </c>
    </row>
    <row r="276" spans="1:52" s="1" customFormat="1" x14ac:dyDescent="0.2">
      <c r="A276" s="2">
        <v>44141</v>
      </c>
      <c r="B276" s="1">
        <v>638</v>
      </c>
      <c r="C276" s="1">
        <v>600</v>
      </c>
      <c r="D276" s="1">
        <f>B276-C276</f>
        <v>38</v>
      </c>
      <c r="E276" s="2">
        <v>44141</v>
      </c>
      <c r="F276" s="1">
        <v>6.9</v>
      </c>
      <c r="G276" s="1">
        <v>7.7</v>
      </c>
      <c r="H276" s="1">
        <f>F276-G276</f>
        <v>-0.79999999999999982</v>
      </c>
      <c r="I276" s="2">
        <v>44147</v>
      </c>
      <c r="J276" s="1">
        <v>1.1884247430024905E-2</v>
      </c>
      <c r="K276" s="1">
        <v>0.2</v>
      </c>
      <c r="L276" s="4">
        <f>J276-K276</f>
        <v>-0.18811575256997509</v>
      </c>
      <c r="P276" s="4"/>
      <c r="Q276" s="2">
        <v>45397</v>
      </c>
      <c r="R276" s="4">
        <v>0.71849521949447004</v>
      </c>
      <c r="S276" s="1">
        <v>0.3</v>
      </c>
      <c r="T276" s="4">
        <f>R276-S276</f>
        <v>0.41849521949447005</v>
      </c>
      <c r="U276" s="2">
        <v>44166</v>
      </c>
      <c r="V276" s="1" t="s">
        <v>52</v>
      </c>
      <c r="W276" s="1" t="s">
        <v>52</v>
      </c>
      <c r="X276" s="1">
        <v>-0.5</v>
      </c>
      <c r="Y276" s="2">
        <v>44739</v>
      </c>
      <c r="Z276" s="5">
        <v>0.72679568999999999</v>
      </c>
      <c r="AA276" s="1">
        <v>0.1</v>
      </c>
      <c r="AB276" s="4">
        <f>Z276-AA276</f>
        <v>0.62679569000000002</v>
      </c>
      <c r="AC276" s="2">
        <v>44705</v>
      </c>
      <c r="AD276" s="5">
        <v>0.59099999999999997</v>
      </c>
      <c r="AE276" s="6">
        <v>0.75</v>
      </c>
      <c r="AF276" s="7">
        <f>AD276-AE276</f>
        <v>-0.15900000000000003</v>
      </c>
      <c r="AG276" s="8">
        <v>44159</v>
      </c>
      <c r="AH276" s="6">
        <v>92.9</v>
      </c>
      <c r="AI276" s="1">
        <v>98</v>
      </c>
      <c r="AJ276" s="1">
        <f>AH276-AI276</f>
        <v>-5.0999999999999943</v>
      </c>
      <c r="AK276" s="2">
        <v>45142</v>
      </c>
      <c r="AL276" s="1">
        <v>0.41666666666666802</v>
      </c>
      <c r="AM276" s="1">
        <v>0.3</v>
      </c>
      <c r="AN276" s="4">
        <f>AL276-AM276</f>
        <v>0.11666666666666803</v>
      </c>
      <c r="AO276" s="2">
        <v>44147</v>
      </c>
      <c r="AP276" s="5">
        <v>4.4579550000000003E-2</v>
      </c>
      <c r="AQ276" s="1">
        <v>0.1</v>
      </c>
      <c r="AR276" s="4">
        <f>AP276-AQ276</f>
        <v>-5.5420450000000003E-2</v>
      </c>
      <c r="AS276" s="2">
        <v>44139</v>
      </c>
      <c r="AT276" s="5">
        <v>-63.862000000000002</v>
      </c>
      <c r="AU276" s="1">
        <v>-63.8</v>
      </c>
      <c r="AV276" s="4">
        <f>AT276-AU276</f>
        <v>-6.2000000000004718E-2</v>
      </c>
      <c r="AW276" s="9">
        <v>44152</v>
      </c>
      <c r="AX276" s="4">
        <v>1.07929804492309</v>
      </c>
      <c r="AY276" s="6">
        <v>1</v>
      </c>
      <c r="AZ276" s="4">
        <f>AX276-AY276</f>
        <v>7.9298044923090005E-2</v>
      </c>
    </row>
    <row r="277" spans="1:52" s="1" customFormat="1" x14ac:dyDescent="0.2">
      <c r="A277" s="2">
        <v>44169</v>
      </c>
      <c r="B277" s="1">
        <v>245</v>
      </c>
      <c r="C277" s="1">
        <v>486</v>
      </c>
      <c r="D277" s="1">
        <f>B277-C277</f>
        <v>-241</v>
      </c>
      <c r="E277" s="2">
        <v>44169</v>
      </c>
      <c r="F277" s="1">
        <v>6.7</v>
      </c>
      <c r="G277" s="1">
        <v>6.8</v>
      </c>
      <c r="H277" s="1">
        <f>F277-G277</f>
        <v>-9.9999999999999645E-2</v>
      </c>
      <c r="I277" s="2">
        <v>44175</v>
      </c>
      <c r="J277" s="1">
        <v>0.21946111342166547</v>
      </c>
      <c r="K277" s="1">
        <v>0.1</v>
      </c>
      <c r="L277" s="4">
        <f>J277-K277</f>
        <v>0.11946111342166546</v>
      </c>
      <c r="P277" s="4"/>
      <c r="Q277" s="2">
        <v>45427</v>
      </c>
      <c r="R277" s="4">
        <v>1.7445398031648501E-2</v>
      </c>
      <c r="S277" s="1">
        <v>0.4</v>
      </c>
      <c r="T277" s="4">
        <f>R277-S277</f>
        <v>-0.3825546019683515</v>
      </c>
      <c r="U277" s="2">
        <v>44200</v>
      </c>
      <c r="V277" s="1" t="s">
        <v>52</v>
      </c>
      <c r="W277" s="1" t="s">
        <v>52</v>
      </c>
      <c r="X277" s="1">
        <v>4.0999999999999996</v>
      </c>
      <c r="Y277" s="2">
        <v>44769</v>
      </c>
      <c r="Z277" s="5">
        <v>1.8738181199999999</v>
      </c>
      <c r="AA277" s="1">
        <v>-0.5</v>
      </c>
      <c r="AB277" s="4">
        <f>Z277-AA277</f>
        <v>2.3738181200000001</v>
      </c>
      <c r="AC277" s="2">
        <v>44736</v>
      </c>
      <c r="AD277" s="5">
        <v>0.69599999999999995</v>
      </c>
      <c r="AE277" s="6">
        <v>0.58799999999999997</v>
      </c>
      <c r="AF277" s="7">
        <f>AD277-AE277</f>
        <v>0.10799999999999998</v>
      </c>
      <c r="AG277" s="8">
        <v>44187</v>
      </c>
      <c r="AH277" s="6">
        <v>87.1</v>
      </c>
      <c r="AI277" s="1">
        <v>97</v>
      </c>
      <c r="AJ277" s="1">
        <f>AH277-AI277</f>
        <v>-9.9000000000000057</v>
      </c>
      <c r="AK277" s="2">
        <v>45170</v>
      </c>
      <c r="AL277" s="1">
        <v>0.23710729104919401</v>
      </c>
      <c r="AM277" s="1">
        <v>0.3</v>
      </c>
      <c r="AN277" s="4">
        <f>AL277-AM277</f>
        <v>-6.2892708950805981E-2</v>
      </c>
      <c r="AO277" s="2">
        <v>44175</v>
      </c>
      <c r="AP277" s="5">
        <v>0.18899452999999999</v>
      </c>
      <c r="AQ277" s="1">
        <v>0.1</v>
      </c>
      <c r="AR277" s="4">
        <f>AP277-AQ277</f>
        <v>8.8994529999999988E-2</v>
      </c>
      <c r="AS277" s="2">
        <v>44169</v>
      </c>
      <c r="AT277" s="5">
        <v>-63.122999999999998</v>
      </c>
      <c r="AU277" s="1">
        <v>-64.8</v>
      </c>
      <c r="AV277" s="4">
        <f>AT277-AU277</f>
        <v>1.6769999999999996</v>
      </c>
      <c r="AW277" s="9">
        <v>44180</v>
      </c>
      <c r="AX277" s="4">
        <v>0.394600528515618</v>
      </c>
      <c r="AY277" s="6">
        <v>0.3</v>
      </c>
      <c r="AZ277" s="4">
        <f>AX277-AY277</f>
        <v>9.460052851561801E-2</v>
      </c>
    </row>
    <row r="278" spans="1:52" s="1" customFormat="1" x14ac:dyDescent="0.2">
      <c r="A278" s="2">
        <v>44204</v>
      </c>
      <c r="B278" s="1">
        <v>-140</v>
      </c>
      <c r="C278" s="1">
        <v>71</v>
      </c>
      <c r="D278" s="1">
        <f>B278-C278</f>
        <v>-211</v>
      </c>
      <c r="E278" s="2">
        <v>44204</v>
      </c>
      <c r="F278" s="1">
        <v>6.7</v>
      </c>
      <c r="G278" s="1">
        <v>6.8</v>
      </c>
      <c r="H278" s="1">
        <f>F278-G278</f>
        <v>-9.9999999999999645E-2</v>
      </c>
      <c r="I278" s="2">
        <v>44209</v>
      </c>
      <c r="J278" s="1">
        <v>8.5220851689788019E-2</v>
      </c>
      <c r="K278" s="1">
        <v>0.1</v>
      </c>
      <c r="L278" s="4">
        <f>J278-K278</f>
        <v>-1.4779148310211987E-2</v>
      </c>
      <c r="P278" s="4"/>
      <c r="Q278" s="2">
        <v>45461</v>
      </c>
      <c r="R278" s="4">
        <v>8.9685077257287901E-2</v>
      </c>
      <c r="S278" s="1">
        <v>0.3</v>
      </c>
      <c r="T278" s="4">
        <f>R278-S278</f>
        <v>-0.21031492274271207</v>
      </c>
      <c r="U278" s="2">
        <v>44228</v>
      </c>
      <c r="V278" s="1" t="s">
        <v>52</v>
      </c>
      <c r="W278" s="1" t="s">
        <v>52</v>
      </c>
      <c r="X278" s="1">
        <v>-1.3</v>
      </c>
      <c r="Y278" s="2">
        <v>44797</v>
      </c>
      <c r="Z278" s="5">
        <v>-1.7183199999999999E-2</v>
      </c>
      <c r="AA278" s="1">
        <v>0.6</v>
      </c>
      <c r="AB278" s="4">
        <f>Z278-AA278</f>
        <v>-0.61718319999999993</v>
      </c>
      <c r="AC278" s="2">
        <v>44768</v>
      </c>
      <c r="AD278" s="5">
        <v>0.59</v>
      </c>
      <c r="AE278" s="6">
        <v>0.66</v>
      </c>
      <c r="AF278" s="7">
        <f>AD278-AE278</f>
        <v>-7.0000000000000062E-2</v>
      </c>
      <c r="AG278" s="8">
        <v>44222</v>
      </c>
      <c r="AH278" s="6">
        <v>87.1</v>
      </c>
      <c r="AI278" s="1">
        <v>89</v>
      </c>
      <c r="AJ278" s="1">
        <f>AH278-AI278</f>
        <v>-1.9000000000000057</v>
      </c>
      <c r="AK278" s="2">
        <v>45205</v>
      </c>
      <c r="AL278" s="1">
        <v>0.20703933747412001</v>
      </c>
      <c r="AM278" s="1">
        <v>0.3</v>
      </c>
      <c r="AN278" s="4">
        <f>AL278-AM278</f>
        <v>-9.2960662525879978E-2</v>
      </c>
      <c r="AO278" s="2">
        <v>44209</v>
      </c>
      <c r="AP278" s="5">
        <v>0.36730734999999998</v>
      </c>
      <c r="AQ278" s="1">
        <v>0.4</v>
      </c>
      <c r="AR278" s="4">
        <f>AP278-AQ278</f>
        <v>-3.2692650000000045E-2</v>
      </c>
      <c r="AS278" s="2">
        <v>44203</v>
      </c>
      <c r="AT278" s="5">
        <v>-68.141999999999996</v>
      </c>
      <c r="AU278" s="1">
        <v>-65.2</v>
      </c>
      <c r="AV278" s="4">
        <f>AT278-AU278</f>
        <v>-2.9419999999999931</v>
      </c>
      <c r="AW278" s="9">
        <v>44211</v>
      </c>
      <c r="AX278" s="4">
        <v>1.57193610803146</v>
      </c>
      <c r="AY278" s="6">
        <v>0.5</v>
      </c>
      <c r="AZ278" s="4">
        <f>AX278-AY278</f>
        <v>1.07193610803146</v>
      </c>
    </row>
    <row r="279" spans="1:52" s="1" customFormat="1" x14ac:dyDescent="0.2">
      <c r="A279" s="2">
        <v>44232</v>
      </c>
      <c r="B279" s="1">
        <v>49</v>
      </c>
      <c r="C279" s="1">
        <v>50</v>
      </c>
      <c r="D279" s="1">
        <f>B279-C279</f>
        <v>-1</v>
      </c>
      <c r="E279" s="2">
        <v>44232</v>
      </c>
      <c r="F279" s="1">
        <v>6.3</v>
      </c>
      <c r="G279" s="1">
        <v>6.7</v>
      </c>
      <c r="H279" s="1">
        <f>F279-G279</f>
        <v>-0.40000000000000036</v>
      </c>
      <c r="I279" s="2">
        <v>44237</v>
      </c>
      <c r="J279" s="1">
        <v>-3.4059315037573118E-2</v>
      </c>
      <c r="K279" s="1">
        <v>0.2</v>
      </c>
      <c r="L279" s="4">
        <f>J279-K279</f>
        <v>-0.23405931503757313</v>
      </c>
      <c r="P279" s="4"/>
      <c r="Q279" s="2">
        <v>45489</v>
      </c>
      <c r="R279" s="4">
        <v>-2.2569742633959899E-2</v>
      </c>
      <c r="S279" s="1">
        <v>-0.3</v>
      </c>
      <c r="T279" s="4">
        <f>R279-S279</f>
        <v>0.2774302573660401</v>
      </c>
      <c r="U279" s="2">
        <v>44256</v>
      </c>
      <c r="V279" s="1" t="s">
        <v>52</v>
      </c>
      <c r="W279" s="1" t="s">
        <v>52</v>
      </c>
      <c r="X279" s="1">
        <v>2</v>
      </c>
      <c r="Y279" s="2">
        <v>44831</v>
      </c>
      <c r="Z279" s="5">
        <v>-0.23235049999999999</v>
      </c>
      <c r="AA279" s="1">
        <v>-0.4</v>
      </c>
      <c r="AB279" s="4">
        <f>Z279-AA279</f>
        <v>0.16764950000000003</v>
      </c>
      <c r="AC279" s="2">
        <v>44796</v>
      </c>
      <c r="AD279" s="5">
        <v>0.51100000000000001</v>
      </c>
      <c r="AE279" s="6">
        <v>0.57499999999999996</v>
      </c>
      <c r="AF279" s="7">
        <f>AD279-AE279</f>
        <v>-6.3999999999999946E-2</v>
      </c>
      <c r="AG279" s="8">
        <v>44250</v>
      </c>
      <c r="AH279" s="6">
        <v>95.2</v>
      </c>
      <c r="AI279" s="1">
        <v>90</v>
      </c>
      <c r="AJ279" s="1">
        <f>AH279-AI279</f>
        <v>5.2000000000000028</v>
      </c>
      <c r="AK279" s="2">
        <v>45233</v>
      </c>
      <c r="AL279" s="1">
        <v>0.206307102858827</v>
      </c>
      <c r="AM279" s="1">
        <v>0.3</v>
      </c>
      <c r="AN279" s="4">
        <f>AL279-AM279</f>
        <v>-9.3692897141172987E-2</v>
      </c>
      <c r="AO279" s="2">
        <v>44237</v>
      </c>
      <c r="AP279" s="5">
        <v>0.25653769999999998</v>
      </c>
      <c r="AQ279" s="1">
        <v>0.3</v>
      </c>
      <c r="AR279" s="4">
        <f>AP279-AQ279</f>
        <v>-4.3462300000000009E-2</v>
      </c>
      <c r="AS279" s="2">
        <v>44232</v>
      </c>
      <c r="AT279" s="5">
        <v>-66.613</v>
      </c>
      <c r="AU279" s="1">
        <v>-65.7</v>
      </c>
      <c r="AV279" s="4">
        <f>AT279-AU279</f>
        <v>-0.9129999999999967</v>
      </c>
      <c r="AW279" s="9">
        <v>44244</v>
      </c>
      <c r="AX279" s="4">
        <v>0.92864184952461104</v>
      </c>
      <c r="AY279" s="6">
        <v>0.5</v>
      </c>
      <c r="AZ279" s="4">
        <f>AX279-AY279</f>
        <v>0.42864184952461104</v>
      </c>
    </row>
    <row r="280" spans="1:52" s="1" customFormat="1" x14ac:dyDescent="0.2">
      <c r="A280" s="2">
        <v>44260</v>
      </c>
      <c r="B280" s="1">
        <v>379</v>
      </c>
      <c r="C280" s="1">
        <v>182</v>
      </c>
      <c r="D280" s="1">
        <f>B280-C280</f>
        <v>197</v>
      </c>
      <c r="E280" s="2">
        <v>44260</v>
      </c>
      <c r="F280" s="1">
        <v>6.2</v>
      </c>
      <c r="G280" s="1">
        <v>6.3</v>
      </c>
      <c r="H280" s="1">
        <f>F280-G280</f>
        <v>-9.9999999999999645E-2</v>
      </c>
      <c r="I280" s="2">
        <v>44265</v>
      </c>
      <c r="J280" s="1">
        <v>0.10147208591797091</v>
      </c>
      <c r="K280" s="1">
        <v>0.2</v>
      </c>
      <c r="L280" s="4">
        <f>J280-K280</f>
        <v>-9.85279140820291E-2</v>
      </c>
      <c r="P280" s="4"/>
      <c r="Q280" s="2">
        <v>45519</v>
      </c>
      <c r="R280" s="4">
        <v>0.96832664164515903</v>
      </c>
      <c r="S280" s="1">
        <v>0.3</v>
      </c>
      <c r="T280" s="4">
        <f>R280-S280</f>
        <v>0.66832664164515898</v>
      </c>
      <c r="U280" s="2">
        <v>44287</v>
      </c>
      <c r="V280" s="1" t="s">
        <v>52</v>
      </c>
      <c r="W280" s="1" t="s">
        <v>52</v>
      </c>
      <c r="X280" s="1">
        <v>3.4</v>
      </c>
      <c r="Y280" s="2">
        <v>44861</v>
      </c>
      <c r="Z280" s="5">
        <v>0.35874112000000002</v>
      </c>
      <c r="AA280" s="1">
        <v>0.6</v>
      </c>
      <c r="AB280" s="4">
        <f>Z280-AA280</f>
        <v>-0.24125887999999995</v>
      </c>
      <c r="AC280" s="2">
        <v>44831</v>
      </c>
      <c r="AD280" s="5">
        <v>0.68500000000000005</v>
      </c>
      <c r="AE280" s="6">
        <v>0.5</v>
      </c>
      <c r="AF280" s="7">
        <f>AD280-AE280</f>
        <v>0.18500000000000005</v>
      </c>
      <c r="AG280" s="8">
        <v>44285</v>
      </c>
      <c r="AH280" s="6">
        <v>114.9</v>
      </c>
      <c r="AI280" s="1">
        <v>96.9</v>
      </c>
      <c r="AJ280" s="1">
        <f>AH280-AI280</f>
        <v>18</v>
      </c>
      <c r="AK280" s="2">
        <v>45268</v>
      </c>
      <c r="AL280" s="1">
        <v>0.35314891112420399</v>
      </c>
      <c r="AM280" s="1">
        <v>0.3</v>
      </c>
      <c r="AN280" s="4">
        <f>AL280-AM280</f>
        <v>5.3148911124204001E-2</v>
      </c>
      <c r="AO280" s="2">
        <v>44265</v>
      </c>
      <c r="AP280" s="5">
        <v>0.35464915000000002</v>
      </c>
      <c r="AQ280" s="1">
        <v>0.4</v>
      </c>
      <c r="AR280" s="4">
        <f>AP280-AQ280</f>
        <v>-4.5350849999999998E-2</v>
      </c>
      <c r="AS280" s="2">
        <v>44260</v>
      </c>
      <c r="AT280" s="5">
        <v>-68.212999999999994</v>
      </c>
      <c r="AU280" s="1">
        <v>-67.5</v>
      </c>
      <c r="AV280" s="4">
        <f>AT280-AU280</f>
        <v>-0.71299999999999386</v>
      </c>
      <c r="AW280" s="9">
        <v>44271</v>
      </c>
      <c r="AX280" s="4">
        <v>-2.2405187802834301</v>
      </c>
      <c r="AY280" s="6">
        <v>0.3</v>
      </c>
      <c r="AZ280" s="4">
        <f>AX280-AY280</f>
        <v>-2.5405187802834299</v>
      </c>
    </row>
    <row r="281" spans="1:52" s="1" customFormat="1" x14ac:dyDescent="0.2">
      <c r="A281" s="2">
        <v>44288</v>
      </c>
      <c r="B281" s="1">
        <v>916</v>
      </c>
      <c r="C281" s="1">
        <v>647</v>
      </c>
      <c r="D281" s="1">
        <f>B281-C281</f>
        <v>269</v>
      </c>
      <c r="E281" s="2">
        <v>44288</v>
      </c>
      <c r="F281" s="1">
        <v>6</v>
      </c>
      <c r="G281" s="1">
        <v>6</v>
      </c>
      <c r="H281" s="1">
        <f>F281-G281</f>
        <v>0</v>
      </c>
      <c r="I281" s="2">
        <v>44299</v>
      </c>
      <c r="J281" s="1">
        <v>0.33851401596011105</v>
      </c>
      <c r="K281" s="1">
        <v>0.2</v>
      </c>
      <c r="L281" s="4">
        <f>J281-K281</f>
        <v>0.13851401596011104</v>
      </c>
      <c r="P281" s="4"/>
      <c r="Q281" s="2">
        <v>45552</v>
      </c>
      <c r="R281" s="4">
        <v>5.1238089607535897E-2</v>
      </c>
      <c r="S281" s="1">
        <v>-0.2</v>
      </c>
      <c r="T281" s="4">
        <f>R281-S281</f>
        <v>0.25123808960753591</v>
      </c>
      <c r="U281" s="2">
        <v>44319</v>
      </c>
      <c r="V281" s="1" t="s">
        <v>52</v>
      </c>
      <c r="W281" s="1" t="s">
        <v>52</v>
      </c>
      <c r="X281" s="1">
        <v>-4.3</v>
      </c>
      <c r="Y281" s="2">
        <v>44888</v>
      </c>
      <c r="Z281" s="5">
        <v>1.0263806799999999</v>
      </c>
      <c r="AA281" s="1">
        <v>0.4</v>
      </c>
      <c r="AB281" s="4">
        <f>Z281-AA281</f>
        <v>0.62638067999999991</v>
      </c>
      <c r="AC281" s="2">
        <v>44860</v>
      </c>
      <c r="AD281" s="5">
        <v>0.60299999999999998</v>
      </c>
      <c r="AE281" s="6">
        <v>0.58499999999999996</v>
      </c>
      <c r="AF281" s="7">
        <f>AD281-AE281</f>
        <v>1.8000000000000016E-2</v>
      </c>
      <c r="AG281" s="8">
        <v>44313</v>
      </c>
      <c r="AH281" s="6">
        <v>117.5</v>
      </c>
      <c r="AI281" s="1">
        <v>113</v>
      </c>
      <c r="AJ281" s="1">
        <f>AH281-AI281</f>
        <v>4.5</v>
      </c>
      <c r="AK281" s="2">
        <v>45296</v>
      </c>
      <c r="AL281" s="1">
        <v>0.43962485345839802</v>
      </c>
      <c r="AM281" s="1">
        <v>0.3</v>
      </c>
      <c r="AN281" s="4">
        <f>AL281-AM281</f>
        <v>0.13962485345839803</v>
      </c>
      <c r="AO281" s="2">
        <v>44299</v>
      </c>
      <c r="AP281" s="5">
        <v>0.62015268000000001</v>
      </c>
      <c r="AQ281" s="1">
        <v>0.5</v>
      </c>
      <c r="AR281" s="4">
        <f>AP281-AQ281</f>
        <v>0.12015268000000001</v>
      </c>
      <c r="AS281" s="2">
        <v>44293</v>
      </c>
      <c r="AT281" s="5">
        <v>-71.078000000000003</v>
      </c>
      <c r="AU281" s="1">
        <v>-70.5</v>
      </c>
      <c r="AV281" s="4">
        <f>AT281-AU281</f>
        <v>-0.57800000000000296</v>
      </c>
      <c r="AW281" s="9">
        <v>44301</v>
      </c>
      <c r="AX281" s="4">
        <v>1.4403778493867401</v>
      </c>
      <c r="AY281" s="6">
        <v>2.8</v>
      </c>
      <c r="AZ281" s="4">
        <f>AX281-AY281</f>
        <v>-1.3596221506132598</v>
      </c>
    </row>
    <row r="282" spans="1:52" s="1" customFormat="1" x14ac:dyDescent="0.2">
      <c r="A282" s="2">
        <v>44323</v>
      </c>
      <c r="B282" s="1">
        <v>266</v>
      </c>
      <c r="C282" s="1">
        <v>978</v>
      </c>
      <c r="D282" s="1">
        <f>B282-C282</f>
        <v>-712</v>
      </c>
      <c r="E282" s="2">
        <v>44323</v>
      </c>
      <c r="F282" s="1">
        <v>6.1</v>
      </c>
      <c r="G282" s="1">
        <v>5.8</v>
      </c>
      <c r="H282" s="1">
        <f>F282-G282</f>
        <v>0.29999999999999982</v>
      </c>
      <c r="I282" s="2">
        <v>44328</v>
      </c>
      <c r="J282" s="1">
        <v>0.91661934855869909</v>
      </c>
      <c r="K282" s="1">
        <v>0.3</v>
      </c>
      <c r="L282" s="4">
        <f>J282-K282</f>
        <v>0.61661934855869904</v>
      </c>
      <c r="P282" s="4"/>
      <c r="Q282" s="2">
        <v>45582</v>
      </c>
      <c r="R282" s="4">
        <v>0.43118779796173401</v>
      </c>
      <c r="S282" s="1">
        <v>0.3</v>
      </c>
      <c r="T282" s="4">
        <f>R282-S282</f>
        <v>0.13118779796173402</v>
      </c>
      <c r="U282" s="2">
        <v>44348</v>
      </c>
      <c r="V282" s="1" t="s">
        <v>52</v>
      </c>
      <c r="W282" s="1" t="s">
        <v>52</v>
      </c>
      <c r="X282" s="1">
        <v>0.3</v>
      </c>
      <c r="Y282" s="2">
        <v>44918</v>
      </c>
      <c r="Z282" s="5">
        <v>-2.0892195999999998</v>
      </c>
      <c r="AA282" s="1">
        <v>-0.6</v>
      </c>
      <c r="AB282" s="4">
        <f>Z282-AA282</f>
        <v>-1.4892195999999998</v>
      </c>
      <c r="AC282" s="2">
        <v>44888</v>
      </c>
      <c r="AD282" s="5">
        <v>0.63200000000000001</v>
      </c>
      <c r="AE282" s="6">
        <v>0.56999999999999995</v>
      </c>
      <c r="AF282" s="7">
        <f>AD282-AE282</f>
        <v>6.2000000000000055E-2</v>
      </c>
      <c r="AG282" s="8">
        <v>44341</v>
      </c>
      <c r="AH282" s="6">
        <v>120</v>
      </c>
      <c r="AI282" s="1">
        <v>119.2</v>
      </c>
      <c r="AJ282" s="1">
        <f>AH282-AI282</f>
        <v>0.79999999999999716</v>
      </c>
      <c r="AK282" s="2">
        <v>45324</v>
      </c>
      <c r="AL282" s="1">
        <v>0.552968568102438</v>
      </c>
      <c r="AM282" s="1">
        <v>0.3</v>
      </c>
      <c r="AN282" s="4">
        <f>AL282-AM282</f>
        <v>0.25296856810243801</v>
      </c>
      <c r="AO282" s="2">
        <v>44328</v>
      </c>
      <c r="AP282" s="5">
        <v>0.77003546</v>
      </c>
      <c r="AQ282" s="1">
        <v>0.2</v>
      </c>
      <c r="AR282" s="4">
        <f>AP282-AQ282</f>
        <v>0.57003545999999994</v>
      </c>
      <c r="AS282" s="2">
        <v>44320</v>
      </c>
      <c r="AT282" s="5">
        <v>-74.447999999999993</v>
      </c>
      <c r="AU282" s="1">
        <v>-74.5</v>
      </c>
      <c r="AV282" s="4">
        <f>AT282-AU282</f>
        <v>5.2000000000006708E-2</v>
      </c>
      <c r="AW282" s="9">
        <v>44330</v>
      </c>
      <c r="AX282" s="4">
        <v>0.66680238806535397</v>
      </c>
      <c r="AY282" s="6">
        <v>1</v>
      </c>
      <c r="AZ282" s="4">
        <f>AX282-AY282</f>
        <v>-0.33319761193464603</v>
      </c>
    </row>
    <row r="283" spans="1:52" s="1" customFormat="1" x14ac:dyDescent="0.2">
      <c r="A283" s="2">
        <v>44351</v>
      </c>
      <c r="B283" s="1">
        <v>559</v>
      </c>
      <c r="C283" s="1">
        <v>650</v>
      </c>
      <c r="D283" s="1">
        <f>B283-C283</f>
        <v>-91</v>
      </c>
      <c r="E283" s="2">
        <v>44351</v>
      </c>
      <c r="F283" s="1">
        <v>5.8</v>
      </c>
      <c r="G283" s="1">
        <v>5.9</v>
      </c>
      <c r="H283" s="1">
        <f>F283-G283</f>
        <v>-0.10000000000000053</v>
      </c>
      <c r="I283" s="2">
        <v>44357</v>
      </c>
      <c r="J283" s="1">
        <v>0.73730361709902414</v>
      </c>
      <c r="K283" s="1">
        <v>0.4</v>
      </c>
      <c r="L283" s="4">
        <f>J283-K283</f>
        <v>0.33730361709902412</v>
      </c>
      <c r="P283" s="4"/>
      <c r="Q283" s="2">
        <v>45611</v>
      </c>
      <c r="R283" s="4">
        <v>0.39677330152815599</v>
      </c>
      <c r="S283" s="1">
        <v>0.3</v>
      </c>
      <c r="T283" s="4">
        <f>R283-S283</f>
        <v>9.6773301528155997E-2</v>
      </c>
      <c r="U283" s="2">
        <v>44378</v>
      </c>
      <c r="V283" s="1" t="s">
        <v>52</v>
      </c>
      <c r="W283" s="1" t="s">
        <v>52</v>
      </c>
      <c r="X283" s="1">
        <v>-0.4</v>
      </c>
      <c r="Y283" s="2">
        <v>44952</v>
      </c>
      <c r="Z283" s="5">
        <v>5.6324285300000003</v>
      </c>
      <c r="AA283" s="1">
        <v>2.5</v>
      </c>
      <c r="AB283" s="4">
        <f>Z283-AA283</f>
        <v>3.1324285300000003</v>
      </c>
      <c r="AC283" s="2">
        <v>44918</v>
      </c>
      <c r="AD283" s="5">
        <v>0.64</v>
      </c>
      <c r="AE283" s="6">
        <v>0.6</v>
      </c>
      <c r="AF283" s="7">
        <f>AD283-AE283</f>
        <v>4.0000000000000036E-2</v>
      </c>
      <c r="AG283" s="8">
        <v>44376</v>
      </c>
      <c r="AH283" s="6">
        <v>128.9</v>
      </c>
      <c r="AI283" s="1">
        <v>119</v>
      </c>
      <c r="AJ283" s="1">
        <f>AH283-AI283</f>
        <v>9.9000000000000057</v>
      </c>
      <c r="AK283" s="2">
        <v>45359</v>
      </c>
      <c r="AL283" s="1">
        <v>0.14484356894552999</v>
      </c>
      <c r="AM283" s="1">
        <v>0.3</v>
      </c>
      <c r="AN283" s="4">
        <f>AL283-AM283</f>
        <v>-0.15515643105447</v>
      </c>
      <c r="AO283" s="2">
        <v>44357</v>
      </c>
      <c r="AP283" s="5">
        <v>0.64422557999999996</v>
      </c>
      <c r="AQ283" s="1">
        <v>0.4</v>
      </c>
      <c r="AR283" s="4">
        <f>AP283-AQ283</f>
        <v>0.24422557999999994</v>
      </c>
      <c r="AS283" s="2">
        <v>44355</v>
      </c>
      <c r="AT283" s="5">
        <v>-68.899000000000001</v>
      </c>
      <c r="AU283" s="1">
        <v>-69</v>
      </c>
      <c r="AV283" s="4">
        <f>AT283-AU283</f>
        <v>0.10099999999999909</v>
      </c>
      <c r="AW283" s="9">
        <v>44362</v>
      </c>
      <c r="AX283" s="4">
        <v>0.84712383884045195</v>
      </c>
      <c r="AY283" s="6">
        <v>0.6</v>
      </c>
      <c r="AZ283" s="4">
        <f>AX283-AY283</f>
        <v>0.24712383884045197</v>
      </c>
    </row>
    <row r="284" spans="1:52" s="1" customFormat="1" x14ac:dyDescent="0.2">
      <c r="A284" s="2">
        <v>44379</v>
      </c>
      <c r="B284" s="1">
        <v>850</v>
      </c>
      <c r="C284" s="1">
        <v>700</v>
      </c>
      <c r="D284" s="1">
        <f>B284-C284</f>
        <v>150</v>
      </c>
      <c r="E284" s="2">
        <v>44379</v>
      </c>
      <c r="F284" s="1">
        <v>5.9</v>
      </c>
      <c r="G284" s="1">
        <v>5.7</v>
      </c>
      <c r="H284" s="1">
        <f>F284-G284</f>
        <v>0.20000000000000018</v>
      </c>
      <c r="I284" s="2">
        <v>44390</v>
      </c>
      <c r="J284" s="1">
        <v>0.87843376203220991</v>
      </c>
      <c r="K284" s="1">
        <v>0.4</v>
      </c>
      <c r="L284" s="4">
        <f>J284-K284</f>
        <v>0.47843376203220989</v>
      </c>
      <c r="P284" s="4"/>
      <c r="Q284" s="2">
        <v>45643</v>
      </c>
      <c r="R284" s="4">
        <v>0.68544734019197495</v>
      </c>
      <c r="S284" s="1">
        <v>0.5</v>
      </c>
      <c r="T284" s="4">
        <f>R284-S284</f>
        <v>0.18544734019197495</v>
      </c>
      <c r="U284" s="2">
        <v>44410</v>
      </c>
      <c r="V284" s="1" t="s">
        <v>52</v>
      </c>
      <c r="W284" s="1" t="s">
        <v>52</v>
      </c>
      <c r="X284" s="1">
        <v>-1.4</v>
      </c>
      <c r="Y284" s="2">
        <v>44984</v>
      </c>
      <c r="Z284" s="5">
        <v>-4.5492632000000004</v>
      </c>
      <c r="AA284" s="1">
        <v>-4</v>
      </c>
      <c r="AB284" s="4">
        <f>Z284-AA284</f>
        <v>-0.5492632000000004</v>
      </c>
      <c r="AC284" s="2">
        <v>44952</v>
      </c>
      <c r="AD284" s="5">
        <v>0.61599999999999999</v>
      </c>
      <c r="AE284" s="6">
        <v>0.61699999999999999</v>
      </c>
      <c r="AF284" s="7">
        <f>AD284-AE284</f>
        <v>-1.0000000000000009E-3</v>
      </c>
      <c r="AG284" s="8">
        <v>44404</v>
      </c>
      <c r="AH284" s="6">
        <v>125.1</v>
      </c>
      <c r="AI284" s="1">
        <v>123.9</v>
      </c>
      <c r="AJ284" s="1">
        <f>AH284-AI284</f>
        <v>1.1999999999999886</v>
      </c>
      <c r="AK284" s="2">
        <v>45387</v>
      </c>
      <c r="AL284" s="1">
        <v>0.34712178189180598</v>
      </c>
      <c r="AM284" s="1">
        <v>0.3</v>
      </c>
      <c r="AN284" s="4">
        <f>AL284-AM284</f>
        <v>4.7121781891805992E-2</v>
      </c>
      <c r="AO284" s="2">
        <v>44390</v>
      </c>
      <c r="AP284" s="5">
        <v>0.90485605999999996</v>
      </c>
      <c r="AQ284" s="1">
        <v>0.5</v>
      </c>
      <c r="AR284" s="4">
        <f>AP284-AQ284</f>
        <v>0.40485605999999996</v>
      </c>
      <c r="AS284" s="2">
        <v>44379</v>
      </c>
      <c r="AT284" s="5">
        <v>-71.240043</v>
      </c>
      <c r="AU284" s="1">
        <v>-71.400000000000006</v>
      </c>
      <c r="AV284" s="4">
        <f>AT284-AU284</f>
        <v>0.15995700000000568</v>
      </c>
      <c r="AW284" s="9">
        <v>44392</v>
      </c>
      <c r="AX284" s="4">
        <v>0.44303467210417302</v>
      </c>
      <c r="AY284" s="6">
        <v>0.6</v>
      </c>
      <c r="AZ284" s="4">
        <f>AX284-AY284</f>
        <v>-0.15696532789582696</v>
      </c>
    </row>
    <row r="285" spans="1:52" s="1" customFormat="1" x14ac:dyDescent="0.2">
      <c r="A285" s="2">
        <v>44414</v>
      </c>
      <c r="B285" s="1">
        <v>943</v>
      </c>
      <c r="C285" s="1">
        <v>870</v>
      </c>
      <c r="D285" s="1">
        <f>B285-C285</f>
        <v>73</v>
      </c>
      <c r="E285" s="2">
        <v>44414</v>
      </c>
      <c r="F285" s="1">
        <v>5.4</v>
      </c>
      <c r="G285" s="1">
        <v>5.7</v>
      </c>
      <c r="H285" s="1">
        <f>F285-G285</f>
        <v>-0.29999999999999982</v>
      </c>
      <c r="I285" s="2">
        <v>44419</v>
      </c>
      <c r="J285" s="1">
        <v>0.32861149061623185</v>
      </c>
      <c r="K285" s="1">
        <v>0.4</v>
      </c>
      <c r="L285" s="4">
        <f>J285-K285</f>
        <v>-7.1388509383768173E-2</v>
      </c>
      <c r="P285" s="4"/>
      <c r="Q285" s="2">
        <v>45673</v>
      </c>
      <c r="R285" s="4">
        <v>0.449908737128491</v>
      </c>
      <c r="S285" s="1">
        <v>0.6</v>
      </c>
      <c r="T285" s="4">
        <f>R285-S285</f>
        <v>-0.15009126287150898</v>
      </c>
      <c r="U285" s="2">
        <v>44440</v>
      </c>
      <c r="V285" s="1" t="s">
        <v>52</v>
      </c>
      <c r="W285" s="1" t="s">
        <v>52</v>
      </c>
      <c r="X285" s="1">
        <v>1.3</v>
      </c>
      <c r="Y285" s="2">
        <v>45009</v>
      </c>
      <c r="Z285" s="5">
        <v>-0.95068330000000001</v>
      </c>
      <c r="AA285" s="1">
        <v>0.6</v>
      </c>
      <c r="AB285" s="4">
        <f>Z285-AA285</f>
        <v>-1.5506833</v>
      </c>
      <c r="AC285" s="2">
        <v>44981</v>
      </c>
      <c r="AD285" s="5">
        <v>0.67</v>
      </c>
      <c r="AE285" s="6">
        <v>0.62</v>
      </c>
      <c r="AF285" s="7">
        <f>AD285-AE285</f>
        <v>5.0000000000000044E-2</v>
      </c>
      <c r="AG285" s="8">
        <v>44439</v>
      </c>
      <c r="AH285" s="6">
        <v>115.2</v>
      </c>
      <c r="AI285" s="1">
        <v>124</v>
      </c>
      <c r="AJ285" s="1">
        <f>AH285-AI285</f>
        <v>-8.7999999999999972</v>
      </c>
      <c r="AK285" s="2">
        <v>45415</v>
      </c>
      <c r="AL285" s="1">
        <v>0.20184544405997701</v>
      </c>
      <c r="AM285" s="1">
        <v>0.3</v>
      </c>
      <c r="AN285" s="4">
        <f>AL285-AM285</f>
        <v>-9.8154555940022981E-2</v>
      </c>
      <c r="AO285" s="2">
        <v>44419</v>
      </c>
      <c r="AP285" s="5">
        <v>0.47383396</v>
      </c>
      <c r="AQ285" s="1">
        <v>0.5</v>
      </c>
      <c r="AR285" s="4">
        <f>AP285-AQ285</f>
        <v>-2.6166040000000002E-2</v>
      </c>
      <c r="AS285" s="2">
        <v>44413</v>
      </c>
      <c r="AT285" s="5">
        <v>-75.748999999999995</v>
      </c>
      <c r="AU285" s="1">
        <v>-74.099999999999994</v>
      </c>
      <c r="AV285" s="4">
        <f>AT285-AU285</f>
        <v>-1.6490000000000009</v>
      </c>
      <c r="AW285" s="9">
        <v>44425</v>
      </c>
      <c r="AX285" s="4">
        <v>0.92818378817566605</v>
      </c>
      <c r="AY285" s="6">
        <v>0.5</v>
      </c>
      <c r="AZ285" s="4">
        <f>AX285-AY285</f>
        <v>0.42818378817566605</v>
      </c>
    </row>
    <row r="286" spans="1:52" s="1" customFormat="1" x14ac:dyDescent="0.2">
      <c r="A286" s="2">
        <v>44442</v>
      </c>
      <c r="B286" s="1">
        <v>235</v>
      </c>
      <c r="C286" s="1">
        <v>728</v>
      </c>
      <c r="D286" s="1">
        <f>B286-C286</f>
        <v>-493</v>
      </c>
      <c r="E286" s="2">
        <v>44442</v>
      </c>
      <c r="F286" s="1">
        <v>5.2</v>
      </c>
      <c r="G286" s="1">
        <v>5.2</v>
      </c>
      <c r="H286" s="1">
        <f>F286-G286</f>
        <v>0</v>
      </c>
      <c r="I286" s="2">
        <v>44453</v>
      </c>
      <c r="J286" s="1">
        <v>0.10177241680823378</v>
      </c>
      <c r="K286" s="1">
        <v>0.3</v>
      </c>
      <c r="L286" s="4">
        <f>J286-K286</f>
        <v>-0.1982275831917662</v>
      </c>
      <c r="P286" s="4"/>
      <c r="Q286" s="2">
        <v>45702</v>
      </c>
      <c r="R286" s="4">
        <v>-0.88278789538545799</v>
      </c>
      <c r="S286" s="1">
        <v>-0.1</v>
      </c>
      <c r="T286" s="4">
        <f>R286-S286</f>
        <v>-0.78278789538545801</v>
      </c>
      <c r="U286" s="2">
        <v>44470</v>
      </c>
      <c r="V286" s="1" t="s">
        <v>52</v>
      </c>
      <c r="W286" s="1" t="s">
        <v>52</v>
      </c>
      <c r="X286" s="1">
        <v>1.5</v>
      </c>
      <c r="Y286" s="2">
        <v>45042</v>
      </c>
      <c r="Z286" s="5">
        <v>3.2267099899999998</v>
      </c>
      <c r="AA286" s="1">
        <v>0.7</v>
      </c>
      <c r="AB286" s="4">
        <f>Z286-AA286</f>
        <v>2.5267099899999996</v>
      </c>
      <c r="AC286" s="2">
        <v>45008</v>
      </c>
      <c r="AD286" s="5">
        <v>0.64</v>
      </c>
      <c r="AE286" s="6">
        <v>0.65</v>
      </c>
      <c r="AF286" s="7">
        <f>AD286-AE286</f>
        <v>-1.0000000000000009E-2</v>
      </c>
      <c r="AG286" s="8">
        <v>44467</v>
      </c>
      <c r="AH286" s="6">
        <v>109.8</v>
      </c>
      <c r="AI286" s="1">
        <v>114.5</v>
      </c>
      <c r="AJ286" s="1">
        <f>AH286-AI286</f>
        <v>-4.7000000000000028</v>
      </c>
      <c r="AK286" s="2">
        <v>45450</v>
      </c>
      <c r="AL286" s="1">
        <v>0.40264595916017598</v>
      </c>
      <c r="AM286" s="1">
        <v>0.3</v>
      </c>
      <c r="AN286" s="4">
        <f>AL286-AM286</f>
        <v>0.10264595916017599</v>
      </c>
      <c r="AO286" s="2">
        <v>44453</v>
      </c>
      <c r="AP286" s="5">
        <v>0.27436505</v>
      </c>
      <c r="AQ286" s="1">
        <v>0.4</v>
      </c>
      <c r="AR286" s="4">
        <f>AP286-AQ286</f>
        <v>-0.12563495000000002</v>
      </c>
      <c r="AS286" s="2">
        <v>44441</v>
      </c>
      <c r="AT286" s="5">
        <v>-70.051000000000002</v>
      </c>
      <c r="AU286" s="1">
        <v>-71</v>
      </c>
      <c r="AV286" s="4">
        <f>AT286-AU286</f>
        <v>0.94899999999999807</v>
      </c>
      <c r="AW286" s="9">
        <v>44454</v>
      </c>
      <c r="AX286" s="4">
        <v>0.402718124983939</v>
      </c>
      <c r="AY286" s="6">
        <v>0.4</v>
      </c>
      <c r="AZ286" s="4">
        <f>AX286-AY286</f>
        <v>2.7181249839389743E-3</v>
      </c>
    </row>
    <row r="287" spans="1:52" s="1" customFormat="1" x14ac:dyDescent="0.2">
      <c r="A287" s="2">
        <v>44477</v>
      </c>
      <c r="B287" s="1">
        <v>194</v>
      </c>
      <c r="C287" s="1">
        <v>500</v>
      </c>
      <c r="D287" s="1">
        <f>B287-C287</f>
        <v>-306</v>
      </c>
      <c r="E287" s="2">
        <v>44477</v>
      </c>
      <c r="F287" s="1">
        <v>4.8</v>
      </c>
      <c r="G287" s="1">
        <v>5.0999999999999996</v>
      </c>
      <c r="H287" s="1">
        <f>F287-G287</f>
        <v>-0.29999999999999982</v>
      </c>
      <c r="I287" s="2">
        <v>44482</v>
      </c>
      <c r="J287" s="1">
        <v>0.24307469803606152</v>
      </c>
      <c r="K287" s="1">
        <v>0.2</v>
      </c>
      <c r="L287" s="4">
        <f>J287-K287</f>
        <v>4.3074698036061509E-2</v>
      </c>
      <c r="P287" s="4"/>
      <c r="Q287" s="2">
        <v>45733</v>
      </c>
      <c r="R287" s="4">
        <v>0.19520310550395101</v>
      </c>
      <c r="S287" s="1">
        <v>0.6</v>
      </c>
      <c r="T287" s="4">
        <f>R287-S287</f>
        <v>-0.40479689449604894</v>
      </c>
      <c r="U287" s="2">
        <v>44501</v>
      </c>
      <c r="V287" s="1" t="s">
        <v>52</v>
      </c>
      <c r="W287" s="1" t="s">
        <v>52</v>
      </c>
      <c r="X287" s="1">
        <v>0.3</v>
      </c>
      <c r="Y287" s="2">
        <v>45072</v>
      </c>
      <c r="Z287" s="5">
        <v>1.1183044600000001</v>
      </c>
      <c r="AA287" s="1">
        <v>-1</v>
      </c>
      <c r="AB287" s="4">
        <f>Z287-AA287</f>
        <v>2.1183044600000001</v>
      </c>
      <c r="AC287" s="2">
        <v>45041</v>
      </c>
      <c r="AD287" s="5">
        <v>0.68300000000000005</v>
      </c>
      <c r="AE287" s="6">
        <v>0.63</v>
      </c>
      <c r="AF287" s="7">
        <f>AD287-AE287</f>
        <v>5.3000000000000047E-2</v>
      </c>
      <c r="AG287" s="8">
        <v>44495</v>
      </c>
      <c r="AH287" s="6">
        <v>111.6</v>
      </c>
      <c r="AI287" s="1">
        <v>108.3</v>
      </c>
      <c r="AJ287" s="1">
        <f>AH287-AI287</f>
        <v>3.2999999999999972</v>
      </c>
      <c r="AK287" s="2">
        <v>45478</v>
      </c>
      <c r="AL287" s="1">
        <v>0.28653295128940198</v>
      </c>
      <c r="AM287" s="1">
        <v>0.3</v>
      </c>
      <c r="AN287" s="4">
        <f>AL287-AM287</f>
        <v>-1.3467048710598006E-2</v>
      </c>
      <c r="AO287" s="2">
        <v>44482</v>
      </c>
      <c r="AP287" s="5">
        <v>0.41243607999999998</v>
      </c>
      <c r="AQ287" s="1">
        <v>0.3</v>
      </c>
      <c r="AR287" s="4">
        <f>AP287-AQ287</f>
        <v>0.11243607999999999</v>
      </c>
      <c r="AS287" s="2">
        <v>44474</v>
      </c>
      <c r="AT287" s="5">
        <v>-73.251532000000012</v>
      </c>
      <c r="AU287" s="1">
        <v>-70.5</v>
      </c>
      <c r="AV287" s="4">
        <f>AT287-AU287</f>
        <v>-2.7515320000000116</v>
      </c>
      <c r="AW287" s="9">
        <v>44487</v>
      </c>
      <c r="AX287" s="4">
        <v>-1.2873782843246599</v>
      </c>
      <c r="AY287" s="6">
        <v>0.2</v>
      </c>
      <c r="AZ287" s="4">
        <f>AX287-AY287</f>
        <v>-1.4873782843246599</v>
      </c>
    </row>
    <row r="288" spans="1:52" s="1" customFormat="1" x14ac:dyDescent="0.2">
      <c r="A288" s="2">
        <v>44505</v>
      </c>
      <c r="B288" s="1">
        <v>531</v>
      </c>
      <c r="C288" s="1">
        <v>450</v>
      </c>
      <c r="D288" s="1">
        <f>B288-C288</f>
        <v>81</v>
      </c>
      <c r="E288" s="2">
        <v>44505</v>
      </c>
      <c r="F288" s="1">
        <v>4.5999999999999996</v>
      </c>
      <c r="G288" s="1">
        <v>4.7</v>
      </c>
      <c r="H288" s="1">
        <f>F288-G288</f>
        <v>-0.10000000000000053</v>
      </c>
      <c r="I288" s="2">
        <v>44510</v>
      </c>
      <c r="J288" s="1">
        <v>0.59924933129059921</v>
      </c>
      <c r="K288" s="1">
        <v>0.4</v>
      </c>
      <c r="L288" s="4">
        <f>J288-K288</f>
        <v>0.19924933129059919</v>
      </c>
      <c r="P288" s="4"/>
      <c r="Q288" s="2">
        <v>45763</v>
      </c>
      <c r="R288" s="4">
        <v>1.4264321254321699</v>
      </c>
      <c r="S288" s="1">
        <v>1.3</v>
      </c>
      <c r="T288" s="4">
        <f>R288-S288</f>
        <v>0.12643212543216986</v>
      </c>
      <c r="U288" s="2">
        <v>44531</v>
      </c>
      <c r="V288" s="1" t="s">
        <v>52</v>
      </c>
      <c r="W288" s="1" t="s">
        <v>52</v>
      </c>
      <c r="X288" s="1">
        <v>0.1</v>
      </c>
      <c r="Y288" s="2">
        <v>45104</v>
      </c>
      <c r="Z288" s="5">
        <v>1.74661851</v>
      </c>
      <c r="AA288" s="1">
        <v>-1</v>
      </c>
      <c r="AB288" s="4">
        <f>Z288-AA288</f>
        <v>2.7466185100000002</v>
      </c>
      <c r="AC288" s="2">
        <v>45069</v>
      </c>
      <c r="AD288" s="5">
        <v>0.68300000000000005</v>
      </c>
      <c r="AE288" s="6">
        <v>0.66500000000000004</v>
      </c>
      <c r="AF288" s="7">
        <f>AD288-AE288</f>
        <v>1.8000000000000016E-2</v>
      </c>
      <c r="AG288" s="8">
        <v>44530</v>
      </c>
      <c r="AH288" s="6">
        <v>111.9</v>
      </c>
      <c r="AI288" s="1">
        <v>111</v>
      </c>
      <c r="AJ288" s="1">
        <f>AH288-AI288</f>
        <v>0.90000000000000568</v>
      </c>
      <c r="AK288" s="2">
        <v>45506</v>
      </c>
      <c r="AL288" s="1">
        <v>0.22863675335809699</v>
      </c>
      <c r="AM288" s="1">
        <v>0.3</v>
      </c>
      <c r="AN288" s="4">
        <f>AL288-AM288</f>
        <v>-7.1363246641902994E-2</v>
      </c>
      <c r="AO288" s="2">
        <v>44510</v>
      </c>
      <c r="AP288" s="5">
        <v>0.94332052</v>
      </c>
      <c r="AQ288" s="1">
        <v>0.6</v>
      </c>
      <c r="AR288" s="4">
        <f>AP288-AQ288</f>
        <v>0.34332052000000002</v>
      </c>
      <c r="AS288" s="2">
        <v>44504</v>
      </c>
      <c r="AT288" s="5">
        <v>-80.933999999999997</v>
      </c>
      <c r="AU288" s="1">
        <v>-80.5</v>
      </c>
      <c r="AV288" s="4">
        <f>AT288-AU288</f>
        <v>-0.4339999999999975</v>
      </c>
      <c r="AW288" s="9">
        <v>44516</v>
      </c>
      <c r="AX288" s="4">
        <v>1.6319361788528399</v>
      </c>
      <c r="AY288" s="6">
        <v>0.7</v>
      </c>
      <c r="AZ288" s="4">
        <f>AX288-AY288</f>
        <v>0.93193617885283997</v>
      </c>
    </row>
    <row r="289" spans="1:52" s="1" customFormat="1" x14ac:dyDescent="0.2">
      <c r="A289" s="2">
        <v>44533</v>
      </c>
      <c r="B289" s="1">
        <v>210</v>
      </c>
      <c r="C289" s="1">
        <v>550</v>
      </c>
      <c r="D289" s="1">
        <f>B289-C289</f>
        <v>-340</v>
      </c>
      <c r="E289" s="2">
        <v>44533</v>
      </c>
      <c r="F289" s="1">
        <v>4.2</v>
      </c>
      <c r="G289" s="1">
        <v>4.5</v>
      </c>
      <c r="H289" s="1">
        <f>F289-G289</f>
        <v>-0.29999999999999982</v>
      </c>
      <c r="I289" s="2">
        <v>44540</v>
      </c>
      <c r="J289" s="1">
        <v>0.53462077779159323</v>
      </c>
      <c r="K289" s="1">
        <v>0.5</v>
      </c>
      <c r="L289" s="4">
        <f>J289-K289</f>
        <v>3.4620777791593227E-2</v>
      </c>
      <c r="P289" s="4"/>
      <c r="Q289" s="2">
        <v>45792</v>
      </c>
      <c r="R289" s="4">
        <v>5.7619446355880899E-2</v>
      </c>
      <c r="S289" s="1">
        <v>0</v>
      </c>
      <c r="T289" s="4">
        <f>R289-S289</f>
        <v>5.7619446355880899E-2</v>
      </c>
      <c r="U289" s="2">
        <v>44565</v>
      </c>
      <c r="V289" s="1" t="s">
        <v>52</v>
      </c>
      <c r="W289" s="1" t="s">
        <v>52</v>
      </c>
      <c r="X289" s="1">
        <v>-1.3</v>
      </c>
      <c r="Y289" s="2">
        <v>45134</v>
      </c>
      <c r="Z289" s="5">
        <v>4.7000796100000004</v>
      </c>
      <c r="AA289" s="1">
        <v>1</v>
      </c>
      <c r="AB289" s="4">
        <f>Z289-AA289</f>
        <v>3.7000796100000004</v>
      </c>
      <c r="AC289" s="2">
        <v>45104</v>
      </c>
      <c r="AD289" s="5">
        <v>0.76300000000000001</v>
      </c>
      <c r="AE289" s="6">
        <v>0.67500000000000004</v>
      </c>
      <c r="AF289" s="7">
        <f>AD289-AE289</f>
        <v>8.7999999999999967E-2</v>
      </c>
      <c r="AG289" s="8">
        <v>44552</v>
      </c>
      <c r="AH289" s="6">
        <v>115.2</v>
      </c>
      <c r="AI289" s="1">
        <v>110.8</v>
      </c>
      <c r="AJ289" s="1">
        <f>AH289-AI289</f>
        <v>4.4000000000000057</v>
      </c>
      <c r="AK289" s="2">
        <v>45541</v>
      </c>
      <c r="AL289" s="1">
        <v>0.399201596806388</v>
      </c>
      <c r="AM289" s="1">
        <v>0.3</v>
      </c>
      <c r="AN289" s="4">
        <f>AL289-AM289</f>
        <v>9.9201596806388015E-2</v>
      </c>
      <c r="AO289" s="2">
        <v>44540</v>
      </c>
      <c r="AP289" s="5">
        <v>0.77911565000000005</v>
      </c>
      <c r="AQ289" s="1">
        <v>0.7</v>
      </c>
      <c r="AR289" s="4">
        <f>AP289-AQ289</f>
        <v>7.9115650000000093E-2</v>
      </c>
      <c r="AS289" s="2">
        <v>44537</v>
      </c>
      <c r="AT289" s="5">
        <v>-67.116</v>
      </c>
      <c r="AU289" s="1">
        <v>-66.8</v>
      </c>
      <c r="AV289" s="4">
        <f>AT289-AU289</f>
        <v>-0.3160000000000025</v>
      </c>
      <c r="AW289" s="9">
        <v>44546</v>
      </c>
      <c r="AX289" s="4">
        <v>0.51512858560746</v>
      </c>
      <c r="AY289" s="6">
        <v>0.7</v>
      </c>
      <c r="AZ289" s="4">
        <f>AX289-AY289</f>
        <v>-0.18487141439253996</v>
      </c>
    </row>
    <row r="290" spans="1:52" s="1" customFormat="1" x14ac:dyDescent="0.2">
      <c r="A290" s="2">
        <v>44568</v>
      </c>
      <c r="B290" s="1">
        <v>199</v>
      </c>
      <c r="C290" s="1">
        <v>400</v>
      </c>
      <c r="D290" s="1">
        <f>B290-C290</f>
        <v>-201</v>
      </c>
      <c r="E290" s="2">
        <v>44568</v>
      </c>
      <c r="F290" s="1">
        <v>3.9</v>
      </c>
      <c r="G290" s="1">
        <v>4.0999999999999996</v>
      </c>
      <c r="H290" s="1">
        <f>F290-G290</f>
        <v>-0.19999999999999973</v>
      </c>
      <c r="I290" s="2">
        <v>44573</v>
      </c>
      <c r="J290" s="1">
        <v>0.55013930035557523</v>
      </c>
      <c r="K290" s="1">
        <v>0.5</v>
      </c>
      <c r="L290" s="4">
        <f>J290-K290</f>
        <v>5.0139300355575234E-2</v>
      </c>
      <c r="P290" s="4"/>
      <c r="Q290" s="2">
        <v>45825</v>
      </c>
      <c r="R290" s="4">
        <v>-0.90943969594851903</v>
      </c>
      <c r="S290" s="1">
        <v>-0.7</v>
      </c>
      <c r="T290" s="4">
        <f>R290-S290</f>
        <v>-0.20943969594851908</v>
      </c>
      <c r="U290" s="2">
        <v>44593</v>
      </c>
      <c r="V290" s="1" t="s">
        <v>52</v>
      </c>
      <c r="W290" s="1" t="s">
        <v>52</v>
      </c>
      <c r="X290" s="1">
        <v>0.1</v>
      </c>
      <c r="Y290" s="2">
        <v>45162</v>
      </c>
      <c r="Z290" s="5">
        <v>-5.1500053000000001</v>
      </c>
      <c r="AA290" s="1">
        <v>-4</v>
      </c>
      <c r="AB290" s="4">
        <f>Z290-AA290</f>
        <v>-1.1500053000000001</v>
      </c>
      <c r="AC290" s="2">
        <v>45133</v>
      </c>
      <c r="AD290" s="5">
        <v>0.69699999999999995</v>
      </c>
      <c r="AE290" s="6">
        <v>0.72499999999999998</v>
      </c>
      <c r="AF290" s="7">
        <f>AD290-AE290</f>
        <v>-2.8000000000000025E-2</v>
      </c>
      <c r="AG290" s="8">
        <v>44586</v>
      </c>
      <c r="AH290" s="6">
        <v>111.1</v>
      </c>
      <c r="AI290" s="1">
        <v>111.8</v>
      </c>
      <c r="AJ290" s="1">
        <f>AH290-AI290</f>
        <v>-0.70000000000000284</v>
      </c>
      <c r="AK290" s="2">
        <v>45569</v>
      </c>
      <c r="AL290" s="1">
        <v>0.36900369003690697</v>
      </c>
      <c r="AM290" s="1">
        <v>0.3</v>
      </c>
      <c r="AN290" s="4">
        <f>AL290-AM290</f>
        <v>6.9003690036906984E-2</v>
      </c>
      <c r="AO290" s="2">
        <v>44573</v>
      </c>
      <c r="AP290" s="5">
        <v>0.47045323999999999</v>
      </c>
      <c r="AQ290" s="1">
        <v>0.4</v>
      </c>
      <c r="AR290" s="4">
        <f>AP290-AQ290</f>
        <v>7.0453239999999973E-2</v>
      </c>
      <c r="AS290" s="2">
        <v>44567</v>
      </c>
      <c r="AT290" s="5">
        <v>-80.171999999999997</v>
      </c>
      <c r="AU290" s="1">
        <v>-77.099999999999994</v>
      </c>
      <c r="AV290" s="4">
        <f>AT290-AU290</f>
        <v>-3.0720000000000027</v>
      </c>
      <c r="AW290" s="9">
        <v>44575</v>
      </c>
      <c r="AX290" s="4">
        <v>-0.10235595164563401</v>
      </c>
      <c r="AY290" s="6">
        <v>0.3</v>
      </c>
      <c r="AZ290" s="4">
        <f>AX290-AY290</f>
        <v>-0.40235595164563398</v>
      </c>
    </row>
    <row r="291" spans="1:52" s="1" customFormat="1" x14ac:dyDescent="0.2">
      <c r="A291" s="2">
        <v>44596</v>
      </c>
      <c r="B291" s="1">
        <v>467</v>
      </c>
      <c r="C291" s="1">
        <v>150</v>
      </c>
      <c r="D291" s="1">
        <f>B291-C291</f>
        <v>317</v>
      </c>
      <c r="E291" s="2">
        <v>44596</v>
      </c>
      <c r="F291" s="1">
        <v>4</v>
      </c>
      <c r="G291" s="1">
        <v>3.9</v>
      </c>
      <c r="H291" s="1">
        <f>F291-G291</f>
        <v>0.10000000000000009</v>
      </c>
      <c r="I291" s="2">
        <v>44602</v>
      </c>
      <c r="J291" s="1">
        <v>0.58716318009262869</v>
      </c>
      <c r="K291" s="1">
        <v>0.5</v>
      </c>
      <c r="L291" s="4">
        <f>J291-K291</f>
        <v>8.7163180092628689E-2</v>
      </c>
      <c r="P291" s="4"/>
      <c r="Q291" s="2">
        <v>45855</v>
      </c>
      <c r="R291" s="4">
        <v>0.63797881602871098</v>
      </c>
      <c r="S291" s="1">
        <v>0.1</v>
      </c>
      <c r="T291" s="4">
        <f>R291-S291</f>
        <v>0.537978816028711</v>
      </c>
      <c r="U291" s="2">
        <v>44621</v>
      </c>
      <c r="V291" s="1" t="s">
        <v>52</v>
      </c>
      <c r="W291" s="1" t="s">
        <v>52</v>
      </c>
      <c r="X291" s="1">
        <v>0.6</v>
      </c>
      <c r="Y291" s="2">
        <v>45196</v>
      </c>
      <c r="Z291" s="5">
        <v>0.16004558999999999</v>
      </c>
      <c r="AA291" s="1">
        <v>-0.5</v>
      </c>
      <c r="AB291" s="4">
        <f>Z291-AA291</f>
        <v>0.66004558999999996</v>
      </c>
      <c r="AC291" s="2">
        <v>45161</v>
      </c>
      <c r="AD291" s="5">
        <v>0.71399999999999997</v>
      </c>
      <c r="AE291" s="6">
        <v>0.70499999999999996</v>
      </c>
      <c r="AF291" s="7">
        <f>AD291-AE291</f>
        <v>9.000000000000008E-3</v>
      </c>
      <c r="AG291" s="8">
        <v>44614</v>
      </c>
      <c r="AH291" s="6">
        <v>105.7</v>
      </c>
      <c r="AI291" s="1">
        <v>110</v>
      </c>
      <c r="AJ291" s="1">
        <f>AH291-AI291</f>
        <v>-4.2999999999999972</v>
      </c>
      <c r="AK291" s="2">
        <v>45597</v>
      </c>
      <c r="AL291" s="1">
        <v>0.367959241437878</v>
      </c>
      <c r="AM291" s="1">
        <v>0.3</v>
      </c>
      <c r="AN291" s="4">
        <f>AL291-AM291</f>
        <v>6.7959241437878015E-2</v>
      </c>
      <c r="AO291" s="2">
        <v>44602</v>
      </c>
      <c r="AP291" s="5">
        <v>0.64506686000000002</v>
      </c>
      <c r="AQ291" s="1">
        <v>0.5</v>
      </c>
      <c r="AR291" s="4">
        <f>AP291-AQ291</f>
        <v>0.14506686000000002</v>
      </c>
      <c r="AS291" s="2">
        <v>44600</v>
      </c>
      <c r="AT291" s="5">
        <v>-80.730999999999995</v>
      </c>
      <c r="AU291" s="1">
        <v>-83</v>
      </c>
      <c r="AV291" s="4">
        <f>AT291-AU291</f>
        <v>2.2690000000000055</v>
      </c>
      <c r="AW291" s="9">
        <v>44608</v>
      </c>
      <c r="AX291" s="4">
        <v>1.41565562410192</v>
      </c>
      <c r="AY291" s="6">
        <v>0.4</v>
      </c>
      <c r="AZ291" s="4">
        <f>AX291-AY291</f>
        <v>1.0156556241019201</v>
      </c>
    </row>
    <row r="292" spans="1:52" s="1" customFormat="1" x14ac:dyDescent="0.2">
      <c r="A292" s="2">
        <v>44624</v>
      </c>
      <c r="B292" s="1">
        <v>678</v>
      </c>
      <c r="C292" s="1">
        <v>400</v>
      </c>
      <c r="D292" s="1">
        <f>B292-C292</f>
        <v>278</v>
      </c>
      <c r="E292" s="2">
        <v>44624</v>
      </c>
      <c r="F292" s="1">
        <v>3.8</v>
      </c>
      <c r="G292" s="1">
        <v>3.9</v>
      </c>
      <c r="H292" s="1">
        <f>F292-G292</f>
        <v>-0.10000000000000009</v>
      </c>
      <c r="I292" s="2">
        <v>44630</v>
      </c>
      <c r="J292" s="1">
        <v>0.505182749073949</v>
      </c>
      <c r="K292" s="1">
        <v>0.5</v>
      </c>
      <c r="L292" s="4">
        <f>J292-K292</f>
        <v>5.1827490739490001E-3</v>
      </c>
      <c r="P292" s="4"/>
      <c r="Q292" s="2">
        <v>45884</v>
      </c>
      <c r="R292" s="4">
        <v>0.51372114297418503</v>
      </c>
      <c r="S292" s="1">
        <v>0.5</v>
      </c>
      <c r="T292" s="4">
        <f>R292-S292</f>
        <v>1.372114297418503E-2</v>
      </c>
      <c r="U292" s="2">
        <v>44652</v>
      </c>
      <c r="V292" s="1" t="s">
        <v>52</v>
      </c>
      <c r="W292" s="1" t="s">
        <v>52</v>
      </c>
      <c r="X292" s="1">
        <v>-1.9</v>
      </c>
      <c r="Y292" s="2">
        <v>45225</v>
      </c>
      <c r="Z292" s="5">
        <v>4.6530787599999996</v>
      </c>
      <c r="AA292" s="1">
        <v>1.7</v>
      </c>
      <c r="AB292" s="4">
        <f>Z292-AA292</f>
        <v>2.9530787599999995</v>
      </c>
      <c r="AC292" s="2">
        <v>45195</v>
      </c>
      <c r="AD292" s="5">
        <v>0.67500000000000004</v>
      </c>
      <c r="AE292" s="6">
        <v>0.7</v>
      </c>
      <c r="AF292" s="7">
        <f>AD292-AE292</f>
        <v>-2.4999999999999911E-2</v>
      </c>
      <c r="AG292" s="8">
        <v>44649</v>
      </c>
      <c r="AH292" s="6">
        <v>107.6</v>
      </c>
      <c r="AI292" s="1">
        <v>107</v>
      </c>
      <c r="AJ292" s="1">
        <f>AH292-AI292</f>
        <v>0.59999999999999432</v>
      </c>
      <c r="AK292" s="2">
        <v>45632</v>
      </c>
      <c r="AL292" s="1">
        <v>0.36640360766629798</v>
      </c>
      <c r="AM292" s="1">
        <v>0.3</v>
      </c>
      <c r="AN292" s="4">
        <f>AL292-AM292</f>
        <v>6.6403607666297992E-2</v>
      </c>
      <c r="AO292" s="2">
        <v>44630</v>
      </c>
      <c r="AP292" s="5">
        <v>0.79770726000000003</v>
      </c>
      <c r="AQ292" s="1">
        <v>0.8</v>
      </c>
      <c r="AR292" s="4">
        <f>AP292-AQ292</f>
        <v>-2.2927400000000153E-3</v>
      </c>
      <c r="AS292" s="2">
        <v>44628</v>
      </c>
      <c r="AT292" s="5">
        <v>-89.691999999999993</v>
      </c>
      <c r="AU292" s="1">
        <v>-87.1</v>
      </c>
      <c r="AV292" s="4">
        <f>AT292-AU292</f>
        <v>-2.5919999999999987</v>
      </c>
      <c r="AW292" s="9">
        <v>44637</v>
      </c>
      <c r="AX292" s="4">
        <v>0.53401455291568201</v>
      </c>
      <c r="AY292" s="6">
        <v>0.5</v>
      </c>
      <c r="AZ292" s="4">
        <f>AX292-AY292</f>
        <v>3.4014552915682006E-2</v>
      </c>
    </row>
    <row r="293" spans="1:52" s="1" customFormat="1" x14ac:dyDescent="0.2">
      <c r="A293" s="2">
        <v>44652</v>
      </c>
      <c r="B293" s="1">
        <v>431</v>
      </c>
      <c r="C293" s="1">
        <v>490</v>
      </c>
      <c r="D293" s="1">
        <f>B293-C293</f>
        <v>-59</v>
      </c>
      <c r="E293" s="2">
        <v>44652</v>
      </c>
      <c r="F293" s="1">
        <v>3.6</v>
      </c>
      <c r="G293" s="1">
        <v>3.7</v>
      </c>
      <c r="H293" s="1">
        <f>F293-G293</f>
        <v>-0.10000000000000009</v>
      </c>
      <c r="I293" s="2">
        <v>44663</v>
      </c>
      <c r="J293" s="1">
        <v>0.32409562384065221</v>
      </c>
      <c r="K293" s="1">
        <v>0.5</v>
      </c>
      <c r="L293" s="4">
        <f>J293-K293</f>
        <v>-0.17590437615934779</v>
      </c>
      <c r="P293" s="4"/>
      <c r="Q293" s="2">
        <v>45916</v>
      </c>
      <c r="R293" s="4">
        <v>0.63182726755327701</v>
      </c>
      <c r="S293" s="1">
        <v>0.2</v>
      </c>
      <c r="T293" s="4">
        <f>R293-S293</f>
        <v>0.43182726755327699</v>
      </c>
      <c r="U293" s="2">
        <v>44683</v>
      </c>
      <c r="V293" s="1" t="s">
        <v>52</v>
      </c>
      <c r="W293" s="1" t="s">
        <v>52</v>
      </c>
      <c r="X293" s="1">
        <v>-2.2000000000000002</v>
      </c>
      <c r="Y293" s="2">
        <v>45252</v>
      </c>
      <c r="Z293" s="5">
        <v>-5.4041062000000002</v>
      </c>
      <c r="AA293" s="1">
        <v>-3.1</v>
      </c>
      <c r="AB293" s="4">
        <f>Z293-AA293</f>
        <v>-2.3041062000000001</v>
      </c>
      <c r="AC293" s="2">
        <v>45224</v>
      </c>
      <c r="AD293" s="5">
        <v>0.75900000000000001</v>
      </c>
      <c r="AE293" s="6">
        <v>0.68</v>
      </c>
      <c r="AF293" s="7">
        <f>AD293-AE293</f>
        <v>7.8999999999999959E-2</v>
      </c>
      <c r="AG293" s="8">
        <v>44677</v>
      </c>
      <c r="AH293" s="6">
        <v>108.6</v>
      </c>
      <c r="AI293" s="1">
        <v>108</v>
      </c>
      <c r="AJ293" s="1">
        <f>AH293-AI293</f>
        <v>0.59999999999999432</v>
      </c>
      <c r="AK293" s="2">
        <v>45667</v>
      </c>
      <c r="AL293" s="1">
        <v>0.28097780275356599</v>
      </c>
      <c r="AM293" s="1">
        <v>0.3</v>
      </c>
      <c r="AN293" s="4">
        <f>AL293-AM293</f>
        <v>-1.9022197246434003E-2</v>
      </c>
      <c r="AO293" s="2">
        <v>44663</v>
      </c>
      <c r="AP293" s="5">
        <v>1.2407541600000001</v>
      </c>
      <c r="AQ293" s="1">
        <v>1.2</v>
      </c>
      <c r="AR293" s="4">
        <f>AP293-AQ293</f>
        <v>4.0754160000000095E-2</v>
      </c>
      <c r="AS293" s="2">
        <v>44656</v>
      </c>
      <c r="AT293" s="5">
        <v>-89.185000000000002</v>
      </c>
      <c r="AU293" s="1">
        <v>-88.5</v>
      </c>
      <c r="AV293" s="4">
        <f>AT293-AU293</f>
        <v>-0.68500000000000227</v>
      </c>
      <c r="AW293" s="9">
        <v>44666</v>
      </c>
      <c r="AX293" s="4">
        <v>0.91784460906207499</v>
      </c>
      <c r="AY293" s="6">
        <v>0.4</v>
      </c>
      <c r="AZ293" s="4">
        <f>AX293-AY293</f>
        <v>0.51784460906207497</v>
      </c>
    </row>
    <row r="294" spans="1:52" s="1" customFormat="1" x14ac:dyDescent="0.2">
      <c r="A294" s="2">
        <v>44687</v>
      </c>
      <c r="B294" s="1">
        <v>428</v>
      </c>
      <c r="C294" s="1">
        <v>394</v>
      </c>
      <c r="D294" s="1">
        <f>B294-C294</f>
        <v>34</v>
      </c>
      <c r="E294" s="2">
        <v>44687</v>
      </c>
      <c r="F294" s="1">
        <v>3.6</v>
      </c>
      <c r="G294" s="1">
        <v>3.5</v>
      </c>
      <c r="H294" s="1">
        <f>F294-G294</f>
        <v>0.10000000000000009</v>
      </c>
      <c r="I294" s="2">
        <v>44692</v>
      </c>
      <c r="J294" s="1">
        <v>0.5692303963491715</v>
      </c>
      <c r="K294" s="1">
        <v>0.4</v>
      </c>
      <c r="L294" s="4">
        <f>J294-K294</f>
        <v>0.16923039634917147</v>
      </c>
      <c r="P294" s="4"/>
      <c r="Q294" s="2">
        <v>45986</v>
      </c>
      <c r="R294" s="4">
        <v>0.163784612988843</v>
      </c>
      <c r="S294" s="1">
        <v>0.4</v>
      </c>
      <c r="T294" s="4">
        <f>R294-S294</f>
        <v>-0.23621538701115702</v>
      </c>
      <c r="U294" s="2">
        <v>44713</v>
      </c>
      <c r="V294" s="1" t="s">
        <v>52</v>
      </c>
      <c r="W294" s="1" t="s">
        <v>52</v>
      </c>
      <c r="X294" s="1">
        <v>1.6</v>
      </c>
      <c r="Y294" s="2">
        <v>45282</v>
      </c>
      <c r="Z294" s="5">
        <v>5.3931766400000001</v>
      </c>
      <c r="AA294" s="1">
        <v>2.2000000000000002</v>
      </c>
      <c r="AB294" s="4">
        <f>Z294-AA294</f>
        <v>3.1931766399999999</v>
      </c>
      <c r="AC294" s="2">
        <v>45257</v>
      </c>
      <c r="AD294" s="5">
        <v>0.67900000000000005</v>
      </c>
      <c r="AE294" s="6">
        <v>0.72299999999999998</v>
      </c>
      <c r="AF294" s="7">
        <f>AD294-AE294</f>
        <v>-4.3999999999999928E-2</v>
      </c>
      <c r="AG294" s="8">
        <v>44712</v>
      </c>
      <c r="AH294" s="6">
        <v>103.2</v>
      </c>
      <c r="AI294" s="1">
        <v>103.7</v>
      </c>
      <c r="AJ294" s="1">
        <f>AH294-AI294</f>
        <v>-0.5</v>
      </c>
      <c r="AK294" s="2">
        <v>45695</v>
      </c>
      <c r="AL294" s="1">
        <v>0.47619047619046101</v>
      </c>
      <c r="AM294" s="1">
        <v>0.3</v>
      </c>
      <c r="AN294" s="4">
        <f>AL294-AM294</f>
        <v>0.17619047619046102</v>
      </c>
      <c r="AO294" s="2">
        <v>44692</v>
      </c>
      <c r="AP294" s="5">
        <v>0.33193377000000002</v>
      </c>
      <c r="AQ294" s="1">
        <v>0.2</v>
      </c>
      <c r="AR294" s="4">
        <f>AP294-AQ294</f>
        <v>0.13193377000000001</v>
      </c>
      <c r="AS294" s="2">
        <v>44685</v>
      </c>
      <c r="AT294" s="5">
        <v>-109.80200000000001</v>
      </c>
      <c r="AU294" s="1">
        <v>-107</v>
      </c>
      <c r="AV294" s="4">
        <f>AT294-AU294</f>
        <v>-2.8020000000000067</v>
      </c>
      <c r="AW294" s="9">
        <v>44698</v>
      </c>
      <c r="AX294" s="4">
        <v>1.07509899582767</v>
      </c>
      <c r="AY294" s="6">
        <v>0.5</v>
      </c>
      <c r="AZ294" s="4">
        <f>AX294-AY294</f>
        <v>0.57509899582766999</v>
      </c>
    </row>
    <row r="295" spans="1:52" s="1" customFormat="1" x14ac:dyDescent="0.2">
      <c r="A295" s="2">
        <v>44715</v>
      </c>
      <c r="B295" s="1">
        <v>390</v>
      </c>
      <c r="C295" s="1">
        <v>325</v>
      </c>
      <c r="D295" s="1">
        <f>B295-C295</f>
        <v>65</v>
      </c>
      <c r="E295" s="2">
        <v>44715</v>
      </c>
      <c r="F295" s="1">
        <v>3.6</v>
      </c>
      <c r="G295" s="1">
        <v>3.5</v>
      </c>
      <c r="H295" s="1">
        <f>F295-G295</f>
        <v>0.10000000000000009</v>
      </c>
      <c r="I295" s="2">
        <v>44722</v>
      </c>
      <c r="J295" s="1">
        <v>0.63142311201391033</v>
      </c>
      <c r="K295" s="1">
        <v>0.5</v>
      </c>
      <c r="L295" s="4">
        <f>J295-K295</f>
        <v>0.13142311201391033</v>
      </c>
      <c r="P295" s="4"/>
      <c r="Q295" s="2">
        <v>46007</v>
      </c>
      <c r="R295" s="4">
        <v>2.58040205121483E-2</v>
      </c>
      <c r="S295" s="1">
        <v>0.1</v>
      </c>
      <c r="T295" s="4">
        <f>R295-S295</f>
        <v>-7.4195979487851699E-2</v>
      </c>
      <c r="U295" s="2">
        <v>44743</v>
      </c>
      <c r="V295" s="1" t="s">
        <v>52</v>
      </c>
      <c r="W295" s="1" t="s">
        <v>52</v>
      </c>
      <c r="X295" s="1">
        <v>-1.9</v>
      </c>
      <c r="Y295" s="2">
        <v>45316</v>
      </c>
      <c r="Z295" s="5">
        <v>1.996616E-2</v>
      </c>
      <c r="AA295" s="1">
        <v>1.1000000000000001</v>
      </c>
      <c r="AB295" s="4">
        <f>Z295-AA295</f>
        <v>-1.08003384</v>
      </c>
      <c r="AC295" s="2">
        <v>45282</v>
      </c>
      <c r="AD295" s="5">
        <v>0.59</v>
      </c>
      <c r="AE295" s="6">
        <v>0.68500000000000005</v>
      </c>
      <c r="AF295" s="7">
        <f>AD295-AE295</f>
        <v>-9.5000000000000084E-2</v>
      </c>
      <c r="AG295" s="8">
        <v>44740</v>
      </c>
      <c r="AH295" s="6">
        <v>98.4</v>
      </c>
      <c r="AI295" s="1">
        <v>100.4</v>
      </c>
      <c r="AJ295" s="1">
        <f>AH295-AI295</f>
        <v>-2</v>
      </c>
      <c r="AK295" s="2">
        <v>45723</v>
      </c>
      <c r="AL295" s="1">
        <v>0.27909572983533698</v>
      </c>
      <c r="AM295" s="1">
        <v>0.3</v>
      </c>
      <c r="AN295" s="4">
        <f>AL295-AM295</f>
        <v>-2.0904270164663008E-2</v>
      </c>
      <c r="AO295" s="2">
        <v>44722</v>
      </c>
      <c r="AP295" s="5">
        <v>0.97379990000000005</v>
      </c>
      <c r="AQ295" s="1">
        <v>0.7</v>
      </c>
      <c r="AR295" s="4">
        <f>AP295-AQ295</f>
        <v>0.2737999000000001</v>
      </c>
      <c r="AS295" s="2">
        <v>44719</v>
      </c>
      <c r="AT295" s="5">
        <v>-87.076999999999998</v>
      </c>
      <c r="AU295" s="1">
        <v>-89.5</v>
      </c>
      <c r="AV295" s="4">
        <f>AT295-AU295</f>
        <v>2.4230000000000018</v>
      </c>
      <c r="AW295" s="9">
        <v>44729</v>
      </c>
      <c r="AX295" s="4">
        <v>0.24713992651213201</v>
      </c>
      <c r="AY295" s="6">
        <v>0.4</v>
      </c>
      <c r="AZ295" s="4">
        <f>AX295-AY295</f>
        <v>-0.15286007348786801</v>
      </c>
    </row>
    <row r="296" spans="1:52" s="1" customFormat="1" x14ac:dyDescent="0.2">
      <c r="A296" s="2">
        <v>44750</v>
      </c>
      <c r="B296" s="1">
        <v>372</v>
      </c>
      <c r="C296" s="1">
        <v>268</v>
      </c>
      <c r="D296" s="1">
        <f>B296-C296</f>
        <v>104</v>
      </c>
      <c r="E296" s="2">
        <v>44750</v>
      </c>
      <c r="F296" s="1">
        <v>3.6</v>
      </c>
      <c r="G296" s="1">
        <v>3.6</v>
      </c>
      <c r="H296" s="1">
        <f>F296-G296</f>
        <v>0</v>
      </c>
      <c r="I296" s="2">
        <v>44755</v>
      </c>
      <c r="J296" s="1">
        <v>0.70649254676022633</v>
      </c>
      <c r="K296" s="1">
        <v>0.6</v>
      </c>
      <c r="L296" s="4">
        <f>J296-K296</f>
        <v>0.10649254676022635</v>
      </c>
      <c r="P296" s="4"/>
      <c r="T296" s="4"/>
      <c r="U296" s="2">
        <v>44774</v>
      </c>
      <c r="V296" s="1" t="s">
        <v>52</v>
      </c>
      <c r="W296" s="1" t="s">
        <v>52</v>
      </c>
      <c r="X296" s="1">
        <v>0.8</v>
      </c>
      <c r="Y296" s="2">
        <v>45349</v>
      </c>
      <c r="Z296" s="5">
        <v>-6.1095385999999996</v>
      </c>
      <c r="AA296" s="1">
        <v>-4.5</v>
      </c>
      <c r="AB296" s="4">
        <f>Z296-AA296</f>
        <v>-1.6095385999999996</v>
      </c>
      <c r="AC296" s="2">
        <v>45316</v>
      </c>
      <c r="AD296" s="5">
        <v>0.66400000000000003</v>
      </c>
      <c r="AE296" s="6">
        <v>0.64500000000000002</v>
      </c>
      <c r="AF296" s="7">
        <f>AD296-AE296</f>
        <v>1.9000000000000017E-2</v>
      </c>
      <c r="AG296" s="8">
        <v>44768</v>
      </c>
      <c r="AH296" s="6">
        <v>95.3</v>
      </c>
      <c r="AI296" s="1">
        <v>97.2</v>
      </c>
      <c r="AJ296" s="1">
        <f>AH296-AI296</f>
        <v>-1.9000000000000057</v>
      </c>
      <c r="AK296" s="2">
        <v>45751</v>
      </c>
      <c r="AL296" s="1">
        <v>0.25062656641604902</v>
      </c>
      <c r="AM296" s="1">
        <v>0.3</v>
      </c>
      <c r="AN296" s="4">
        <f>AL296-AM296</f>
        <v>-4.9373433583950965E-2</v>
      </c>
      <c r="AO296" s="2">
        <v>44755</v>
      </c>
      <c r="AP296" s="5">
        <v>1.32224487</v>
      </c>
      <c r="AQ296" s="1">
        <v>1.1000000000000001</v>
      </c>
      <c r="AR296" s="4">
        <f>AP296-AQ296</f>
        <v>0.22224486999999993</v>
      </c>
      <c r="AS296" s="2">
        <v>44749</v>
      </c>
      <c r="AT296" s="5">
        <v>-85.546000000000006</v>
      </c>
      <c r="AU296" s="1">
        <v>-84.9</v>
      </c>
      <c r="AV296" s="4">
        <f>AT296-AU296</f>
        <v>-0.6460000000000008</v>
      </c>
      <c r="AW296" s="9">
        <v>44757</v>
      </c>
      <c r="AX296" s="4">
        <v>-0.19899993210478201</v>
      </c>
      <c r="AY296" s="6">
        <v>0.1</v>
      </c>
      <c r="AZ296" s="4">
        <f>AX296-AY296</f>
        <v>-0.29899993210478204</v>
      </c>
    </row>
    <row r="297" spans="1:52" s="1" customFormat="1" x14ac:dyDescent="0.2">
      <c r="A297" s="2">
        <v>44778</v>
      </c>
      <c r="B297" s="1">
        <v>528</v>
      </c>
      <c r="C297" s="1">
        <v>250</v>
      </c>
      <c r="D297" s="1">
        <f>B297-C297</f>
        <v>278</v>
      </c>
      <c r="E297" s="2">
        <v>44778</v>
      </c>
      <c r="F297" s="1">
        <v>3.5</v>
      </c>
      <c r="G297" s="1">
        <v>3.6</v>
      </c>
      <c r="H297" s="1">
        <f>F297-G297</f>
        <v>-0.10000000000000009</v>
      </c>
      <c r="I297" s="2">
        <v>44783</v>
      </c>
      <c r="J297" s="1">
        <v>0.31288856275097071</v>
      </c>
      <c r="K297" s="1">
        <v>0.5</v>
      </c>
      <c r="L297" s="4">
        <f>J297-K297</f>
        <v>-0.18711143724902929</v>
      </c>
      <c r="P297" s="4"/>
      <c r="T297" s="4"/>
      <c r="U297" s="2">
        <v>44805</v>
      </c>
      <c r="V297" s="1" t="s">
        <v>52</v>
      </c>
      <c r="W297" s="1" t="s">
        <v>52</v>
      </c>
      <c r="X297" s="1">
        <v>0.8</v>
      </c>
      <c r="Y297" s="2">
        <v>45377</v>
      </c>
      <c r="Z297" s="5">
        <v>1.3658611300000001</v>
      </c>
      <c r="AA297" s="1">
        <v>1.1000000000000001</v>
      </c>
      <c r="AB297" s="4">
        <f>Z297-AA297</f>
        <v>0.26586113</v>
      </c>
      <c r="AC297" s="2">
        <v>45348</v>
      </c>
      <c r="AD297" s="5">
        <v>0.66100000000000003</v>
      </c>
      <c r="AE297" s="6">
        <v>0.68</v>
      </c>
      <c r="AF297" s="7">
        <f>AD297-AE297</f>
        <v>-1.9000000000000017E-2</v>
      </c>
      <c r="AG297" s="8">
        <v>44803</v>
      </c>
      <c r="AH297" s="6">
        <v>103.6</v>
      </c>
      <c r="AI297" s="1">
        <v>97.7</v>
      </c>
      <c r="AJ297" s="1">
        <f>AH297-AI297</f>
        <v>5.8999999999999915</v>
      </c>
      <c r="AK297" s="2">
        <v>45779</v>
      </c>
      <c r="AL297" s="1">
        <v>0.16666666666667199</v>
      </c>
      <c r="AM297" s="1">
        <v>0.3</v>
      </c>
      <c r="AN297" s="4">
        <f>AL297-AM297</f>
        <v>-0.133333333333328</v>
      </c>
      <c r="AO297" s="2">
        <v>44783</v>
      </c>
      <c r="AP297" s="5">
        <v>-1.9300600000000001E-2</v>
      </c>
      <c r="AQ297" s="1">
        <v>0.2</v>
      </c>
      <c r="AR297" s="4">
        <f>AP297-AQ297</f>
        <v>-0.21930060000000001</v>
      </c>
      <c r="AS297" s="2">
        <v>44777</v>
      </c>
      <c r="AT297" s="5">
        <v>-79.614000000000004</v>
      </c>
      <c r="AU297" s="1">
        <v>-80.099999999999994</v>
      </c>
      <c r="AV297" s="4">
        <f>AT297-AU297</f>
        <v>0.48599999999999</v>
      </c>
      <c r="AW297" s="9">
        <v>44789</v>
      </c>
      <c r="AX297" s="4">
        <v>0.56091319661994499</v>
      </c>
      <c r="AY297" s="6">
        <v>0.3</v>
      </c>
      <c r="AZ297" s="4">
        <f>AX297-AY297</f>
        <v>0.260913196619945</v>
      </c>
    </row>
    <row r="298" spans="1:52" s="1" customFormat="1" x14ac:dyDescent="0.2">
      <c r="A298" s="2">
        <v>44806</v>
      </c>
      <c r="B298" s="1">
        <v>315</v>
      </c>
      <c r="C298" s="1">
        <v>300</v>
      </c>
      <c r="D298" s="1">
        <f>B298-C298</f>
        <v>15</v>
      </c>
      <c r="E298" s="2">
        <v>44806</v>
      </c>
      <c r="F298" s="1">
        <v>3.7</v>
      </c>
      <c r="G298" s="1">
        <v>3.5</v>
      </c>
      <c r="H298" s="1">
        <f>F298-G298</f>
        <v>0.20000000000000018</v>
      </c>
      <c r="I298" s="2">
        <v>44817</v>
      </c>
      <c r="J298" s="1">
        <v>0.56726780120227294</v>
      </c>
      <c r="K298" s="1">
        <v>0.3</v>
      </c>
      <c r="L298" s="4">
        <f>J298-K298</f>
        <v>0.26726780120227295</v>
      </c>
      <c r="P298" s="4"/>
      <c r="T298" s="4"/>
      <c r="U298" s="2">
        <v>44837</v>
      </c>
      <c r="V298" s="1" t="s">
        <v>52</v>
      </c>
      <c r="W298" s="1" t="s">
        <v>52</v>
      </c>
      <c r="X298" s="1">
        <v>-1.3</v>
      </c>
      <c r="Y298" s="2">
        <v>45406</v>
      </c>
      <c r="Z298" s="5">
        <v>2.6457134400000002</v>
      </c>
      <c r="AA298" s="1">
        <v>2.5</v>
      </c>
      <c r="AB298" s="4">
        <f>Z298-AA298</f>
        <v>0.14571344000000019</v>
      </c>
      <c r="AC298" s="2">
        <v>45376</v>
      </c>
      <c r="AD298" s="5">
        <v>0.66200000000000003</v>
      </c>
      <c r="AE298" s="6">
        <v>0.67500000000000004</v>
      </c>
      <c r="AF298" s="7">
        <f>AD298-AE298</f>
        <v>-1.3000000000000012E-2</v>
      </c>
      <c r="AG298" s="8">
        <v>44831</v>
      </c>
      <c r="AH298" s="6">
        <v>107.8</v>
      </c>
      <c r="AI298" s="1">
        <v>104.5</v>
      </c>
      <c r="AJ298" s="1">
        <f>AH298-AI298</f>
        <v>3.2999999999999972</v>
      </c>
      <c r="AK298" s="2">
        <v>45814</v>
      </c>
      <c r="AL298" s="1">
        <v>0.41562759767248098</v>
      </c>
      <c r="AM298" s="1">
        <v>0.3</v>
      </c>
      <c r="AN298" s="4">
        <f>AL298-AM298</f>
        <v>0.11562759767248099</v>
      </c>
      <c r="AO298" s="2">
        <v>44817</v>
      </c>
      <c r="AP298" s="5">
        <v>0.1181965</v>
      </c>
      <c r="AQ298" s="1">
        <v>-0.1</v>
      </c>
      <c r="AR298" s="4">
        <f>AP298-AQ298</f>
        <v>0.21819650000000002</v>
      </c>
      <c r="AS298" s="2">
        <v>44811</v>
      </c>
      <c r="AT298" s="5">
        <v>-70.650000000000006</v>
      </c>
      <c r="AU298" s="1">
        <v>-70.3</v>
      </c>
      <c r="AV298" s="4">
        <f>AT298-AU298</f>
        <v>-0.35000000000000853</v>
      </c>
      <c r="AW298" s="9">
        <v>44819</v>
      </c>
      <c r="AX298" s="4">
        <v>-0.164726711224047</v>
      </c>
      <c r="AY298" s="6">
        <v>0.1</v>
      </c>
      <c r="AZ298" s="4">
        <f>AX298-AY298</f>
        <v>-0.26472671122404701</v>
      </c>
    </row>
    <row r="299" spans="1:52" s="1" customFormat="1" x14ac:dyDescent="0.2">
      <c r="A299" s="2">
        <v>44841</v>
      </c>
      <c r="B299" s="1">
        <v>263</v>
      </c>
      <c r="C299" s="1">
        <v>250</v>
      </c>
      <c r="D299" s="1">
        <f>B299-C299</f>
        <v>13</v>
      </c>
      <c r="E299" s="2">
        <v>44841</v>
      </c>
      <c r="F299" s="1">
        <v>3.5</v>
      </c>
      <c r="G299" s="1">
        <v>3.7</v>
      </c>
      <c r="H299" s="1">
        <f>F299-G299</f>
        <v>-0.20000000000000018</v>
      </c>
      <c r="I299" s="2">
        <v>44847</v>
      </c>
      <c r="J299" s="1">
        <v>0.57585452096313738</v>
      </c>
      <c r="K299" s="1">
        <v>0.5</v>
      </c>
      <c r="L299" s="4">
        <f>J299-K299</f>
        <v>7.5854520963137384E-2</v>
      </c>
      <c r="P299" s="4"/>
      <c r="T299" s="4"/>
      <c r="U299" s="2">
        <v>44866</v>
      </c>
      <c r="V299" s="1" t="s">
        <v>52</v>
      </c>
      <c r="W299" s="1" t="s">
        <v>52</v>
      </c>
      <c r="X299" s="1">
        <v>0.2</v>
      </c>
      <c r="Y299" s="2">
        <v>45436</v>
      </c>
      <c r="Z299" s="5">
        <v>0.67655449999999995</v>
      </c>
      <c r="AA299" s="1">
        <v>-0.8</v>
      </c>
      <c r="AB299" s="4">
        <f>Z299-AA299</f>
        <v>1.4765545</v>
      </c>
      <c r="AC299" s="2">
        <v>45405</v>
      </c>
      <c r="AD299" s="5">
        <v>0.69299999999999995</v>
      </c>
      <c r="AE299" s="6">
        <v>0.67</v>
      </c>
      <c r="AF299" s="7">
        <f>AD299-AE299</f>
        <v>2.2999999999999909E-2</v>
      </c>
      <c r="AG299" s="8">
        <v>44859</v>
      </c>
      <c r="AH299" s="6">
        <v>102.2</v>
      </c>
      <c r="AI299" s="1">
        <v>106.5</v>
      </c>
      <c r="AJ299" s="1">
        <f>AH299-AI299</f>
        <v>-4.2999999999999972</v>
      </c>
      <c r="AK299" s="2">
        <v>45841</v>
      </c>
      <c r="AL299" s="1">
        <v>0.22087244616233601</v>
      </c>
      <c r="AM299" s="1">
        <v>0.3</v>
      </c>
      <c r="AN299" s="4">
        <f>AL299-AM299</f>
        <v>-7.9127553837663983E-2</v>
      </c>
      <c r="AO299" s="2">
        <v>44847</v>
      </c>
      <c r="AP299" s="5">
        <v>0.38596847000000001</v>
      </c>
      <c r="AQ299" s="1">
        <v>0.2</v>
      </c>
      <c r="AR299" s="4">
        <f>AP299-AQ299</f>
        <v>0.18596847</v>
      </c>
      <c r="AS299" s="2">
        <v>44839</v>
      </c>
      <c r="AT299" s="5">
        <v>-67.397999999999996</v>
      </c>
      <c r="AU299" s="1">
        <v>-67.7</v>
      </c>
      <c r="AV299" s="4">
        <f>AT299-AU299</f>
        <v>0.30200000000000671</v>
      </c>
      <c r="AW299" s="9">
        <v>44852</v>
      </c>
      <c r="AX299" s="4">
        <v>0.37841299412003299</v>
      </c>
      <c r="AY299" s="6">
        <v>0.1</v>
      </c>
      <c r="AZ299" s="4">
        <f>AX299-AY299</f>
        <v>0.27841299412003295</v>
      </c>
    </row>
    <row r="300" spans="1:52" s="1" customFormat="1" x14ac:dyDescent="0.2">
      <c r="A300" s="2">
        <v>44869</v>
      </c>
      <c r="B300" s="1">
        <v>261</v>
      </c>
      <c r="C300" s="1">
        <v>200</v>
      </c>
      <c r="D300" s="1">
        <f>B300-C300</f>
        <v>61</v>
      </c>
      <c r="E300" s="2">
        <v>44869</v>
      </c>
      <c r="F300" s="1">
        <v>3.7</v>
      </c>
      <c r="G300" s="1">
        <v>3.6</v>
      </c>
      <c r="H300" s="1">
        <f>F300-G300</f>
        <v>0.10000000000000009</v>
      </c>
      <c r="I300" s="2">
        <v>44875</v>
      </c>
      <c r="J300" s="1">
        <v>0.27154623987141852</v>
      </c>
      <c r="K300" s="1">
        <v>0.5</v>
      </c>
      <c r="L300" s="4">
        <f>J300-K300</f>
        <v>-0.22845376012858148</v>
      </c>
      <c r="P300" s="4"/>
      <c r="S300" s="3"/>
      <c r="T300" s="4"/>
      <c r="U300" s="2">
        <v>44896</v>
      </c>
      <c r="V300" s="1" t="s">
        <v>52</v>
      </c>
      <c r="W300" s="1" t="s">
        <v>52</v>
      </c>
      <c r="X300" s="1">
        <v>-0.8</v>
      </c>
      <c r="Y300" s="2">
        <v>45470</v>
      </c>
      <c r="Z300" s="5">
        <v>0.10679756</v>
      </c>
      <c r="AA300" s="1">
        <v>-0.1</v>
      </c>
      <c r="AB300" s="4">
        <f>Z300-AA300</f>
        <v>0.20679755999999999</v>
      </c>
      <c r="AC300" s="2">
        <v>45435</v>
      </c>
      <c r="AD300" s="5">
        <v>0.63400000000000001</v>
      </c>
      <c r="AE300" s="6">
        <v>0.67900000000000005</v>
      </c>
      <c r="AF300" s="7">
        <f>AD300-AE300</f>
        <v>-4.500000000000004E-2</v>
      </c>
      <c r="AG300" s="8">
        <v>44894</v>
      </c>
      <c r="AH300" s="6">
        <v>101.4</v>
      </c>
      <c r="AI300" s="1">
        <v>100</v>
      </c>
      <c r="AJ300" s="1">
        <f>AH300-AI300</f>
        <v>1.4000000000000057</v>
      </c>
      <c r="AK300" s="2">
        <v>45870</v>
      </c>
      <c r="AL300" s="1">
        <v>0.33039647577091802</v>
      </c>
      <c r="AM300" s="1">
        <v>0.3</v>
      </c>
      <c r="AN300" s="4">
        <f>AL300-AM300</f>
        <v>3.039647577091803E-2</v>
      </c>
      <c r="AO300" s="2">
        <v>44875</v>
      </c>
      <c r="AP300" s="5">
        <v>0.43839992</v>
      </c>
      <c r="AQ300" s="1">
        <v>0.6</v>
      </c>
      <c r="AR300" s="4">
        <f>AP300-AQ300</f>
        <v>-0.16160007999999998</v>
      </c>
      <c r="AS300" s="2">
        <v>44868</v>
      </c>
      <c r="AT300" s="5">
        <v>-73.281999999999996</v>
      </c>
      <c r="AU300" s="1">
        <v>-72.2</v>
      </c>
      <c r="AV300" s="4">
        <f>AT300-AU300</f>
        <v>-1.0819999999999936</v>
      </c>
      <c r="AW300" s="9">
        <v>44881</v>
      </c>
      <c r="AX300" s="4">
        <v>-0.110300081103001</v>
      </c>
      <c r="AY300" s="6">
        <v>0.2</v>
      </c>
      <c r="AZ300" s="4">
        <f>AX300-AY300</f>
        <v>-0.310300081103001</v>
      </c>
    </row>
    <row r="301" spans="1:52" s="1" customFormat="1" x14ac:dyDescent="0.2">
      <c r="A301" s="2">
        <v>44897</v>
      </c>
      <c r="B301" s="1">
        <v>263</v>
      </c>
      <c r="C301" s="1">
        <v>200</v>
      </c>
      <c r="D301" s="1">
        <f>B301-C301</f>
        <v>63</v>
      </c>
      <c r="E301" s="2">
        <v>44897</v>
      </c>
      <c r="F301" s="1">
        <v>3.7</v>
      </c>
      <c r="G301" s="1">
        <v>3.7</v>
      </c>
      <c r="H301" s="1">
        <f>F301-G301</f>
        <v>0</v>
      </c>
      <c r="I301" s="2">
        <v>44908</v>
      </c>
      <c r="J301" s="1">
        <v>0.1986836788870944</v>
      </c>
      <c r="K301" s="1">
        <v>0.3</v>
      </c>
      <c r="L301" s="4">
        <f>J301-K301</f>
        <v>-0.10131632111290559</v>
      </c>
      <c r="P301" s="4"/>
      <c r="T301" s="4"/>
      <c r="U301" s="2">
        <v>44930</v>
      </c>
      <c r="V301" s="1" t="s">
        <v>52</v>
      </c>
      <c r="W301" s="1" t="s">
        <v>52</v>
      </c>
      <c r="X301" s="1">
        <v>-0.1</v>
      </c>
      <c r="Y301" s="2">
        <v>45498</v>
      </c>
      <c r="Z301" s="5">
        <v>-6.5628951000000004</v>
      </c>
      <c r="AA301" s="1">
        <v>0.3</v>
      </c>
      <c r="AB301" s="4">
        <f>Z301-AA301</f>
        <v>-6.8628951000000002</v>
      </c>
      <c r="AC301" s="2">
        <v>45469</v>
      </c>
      <c r="AD301" s="5">
        <v>0.61899999999999999</v>
      </c>
      <c r="AE301" s="6">
        <v>0.64</v>
      </c>
      <c r="AF301" s="7">
        <f>AD301-AE301</f>
        <v>-2.1000000000000019E-2</v>
      </c>
      <c r="AG301" s="8">
        <v>44922</v>
      </c>
      <c r="AH301" s="6">
        <v>109</v>
      </c>
      <c r="AI301" s="1">
        <v>101</v>
      </c>
      <c r="AJ301" s="1">
        <f>AH301-AI301</f>
        <v>8</v>
      </c>
      <c r="AK301" s="2">
        <v>45905</v>
      </c>
      <c r="AL301" s="1">
        <v>0.274499039253366</v>
      </c>
      <c r="AM301" s="1">
        <v>0.3</v>
      </c>
      <c r="AN301" s="4">
        <f>AL301-AM301</f>
        <v>-2.5500960746633994E-2</v>
      </c>
      <c r="AO301" s="2">
        <v>44908</v>
      </c>
      <c r="AP301" s="5">
        <v>9.6288689999999996E-2</v>
      </c>
      <c r="AQ301" s="1">
        <v>0.3</v>
      </c>
      <c r="AR301" s="4">
        <f>AP301-AQ301</f>
        <v>-0.20371130999999998</v>
      </c>
      <c r="AS301" s="2">
        <v>44901</v>
      </c>
      <c r="AT301" s="5">
        <v>-78.162000000000006</v>
      </c>
      <c r="AU301" s="1">
        <v>-80</v>
      </c>
      <c r="AV301" s="4">
        <f>AT301-AU301</f>
        <v>1.8379999999999939</v>
      </c>
      <c r="AW301" s="9">
        <v>44910</v>
      </c>
      <c r="AX301" s="4">
        <v>-0.219480388057365</v>
      </c>
      <c r="AY301" s="6">
        <v>0.1</v>
      </c>
      <c r="AZ301" s="4">
        <f>AX301-AY301</f>
        <v>-0.31948038805736501</v>
      </c>
    </row>
    <row r="302" spans="1:52" s="1" customFormat="1" x14ac:dyDescent="0.2">
      <c r="A302" s="2">
        <v>44932</v>
      </c>
      <c r="B302" s="1">
        <v>223</v>
      </c>
      <c r="C302" s="1">
        <v>200</v>
      </c>
      <c r="D302" s="1">
        <f>B302-C302</f>
        <v>23</v>
      </c>
      <c r="E302" s="2">
        <v>44932</v>
      </c>
      <c r="F302" s="1">
        <v>3.5</v>
      </c>
      <c r="G302" s="1">
        <v>3.7</v>
      </c>
      <c r="H302" s="1">
        <f>F302-G302</f>
        <v>-0.20000000000000018</v>
      </c>
      <c r="I302" s="2">
        <v>44938</v>
      </c>
      <c r="J302" s="1">
        <v>0.30260009464584975</v>
      </c>
      <c r="K302" s="1">
        <v>0.3</v>
      </c>
      <c r="L302" s="4">
        <f>J302-K302</f>
        <v>2.6000946458497598E-3</v>
      </c>
      <c r="P302" s="4"/>
      <c r="T302" s="4"/>
      <c r="U302" s="2">
        <v>44958</v>
      </c>
      <c r="V302" s="1" t="s">
        <v>52</v>
      </c>
      <c r="W302" s="1" t="s">
        <v>52</v>
      </c>
      <c r="X302" s="1">
        <v>-0.6</v>
      </c>
      <c r="Y302" s="2">
        <v>45530</v>
      </c>
      <c r="Z302" s="5">
        <v>9.8925906099999992</v>
      </c>
      <c r="AA302" s="1">
        <v>5.7</v>
      </c>
      <c r="AB302" s="4">
        <f>Z302-AA302</f>
        <v>4.192590609999999</v>
      </c>
      <c r="AC302" s="2">
        <v>45497</v>
      </c>
      <c r="AD302" s="5">
        <v>0.61699999999999999</v>
      </c>
      <c r="AE302" s="6">
        <v>0.64</v>
      </c>
      <c r="AF302" s="7">
        <f>AD302-AE302</f>
        <v>-2.300000000000002E-2</v>
      </c>
      <c r="AG302" s="8">
        <v>44957</v>
      </c>
      <c r="AH302" s="6">
        <v>106</v>
      </c>
      <c r="AI302" s="1">
        <v>109</v>
      </c>
      <c r="AJ302" s="1">
        <f>AH302-AI302</f>
        <v>-3</v>
      </c>
      <c r="AK302" s="2">
        <v>45981</v>
      </c>
      <c r="AL302" s="1">
        <v>0.246036085292518</v>
      </c>
      <c r="AM302" s="1">
        <v>0.3</v>
      </c>
      <c r="AN302" s="4">
        <f>AL302-AM302</f>
        <v>-5.3963914707481991E-2</v>
      </c>
      <c r="AO302" s="2">
        <v>44938</v>
      </c>
      <c r="AP302" s="5">
        <v>-7.9437199999999999E-2</v>
      </c>
      <c r="AQ302" s="1">
        <v>0</v>
      </c>
      <c r="AR302" s="4">
        <f>AP302-AQ302</f>
        <v>-7.9437199999999999E-2</v>
      </c>
      <c r="AS302" s="2">
        <v>44931</v>
      </c>
      <c r="AT302" s="5">
        <v>-61.511000000000003</v>
      </c>
      <c r="AU302" s="1">
        <v>-73</v>
      </c>
      <c r="AV302" s="4">
        <f>AT302-AU302</f>
        <v>11.488999999999997</v>
      </c>
      <c r="AW302" s="9">
        <v>44944</v>
      </c>
      <c r="AX302" s="4">
        <v>-0.722839759162196</v>
      </c>
      <c r="AY302" s="6">
        <v>-0.1</v>
      </c>
      <c r="AZ302" s="4">
        <f>AX302-AY302</f>
        <v>-0.62283975916219603</v>
      </c>
    </row>
    <row r="303" spans="1:52" s="1" customFormat="1" x14ac:dyDescent="0.2">
      <c r="A303" s="2">
        <v>44960</v>
      </c>
      <c r="B303" s="1">
        <v>517</v>
      </c>
      <c r="C303" s="1">
        <v>185</v>
      </c>
      <c r="D303" s="1">
        <f>B303-C303</f>
        <v>332</v>
      </c>
      <c r="E303" s="2">
        <v>44960</v>
      </c>
      <c r="F303" s="1">
        <v>3.4</v>
      </c>
      <c r="G303" s="1">
        <v>3.6</v>
      </c>
      <c r="H303" s="1">
        <f>F303-G303</f>
        <v>-0.20000000000000018</v>
      </c>
      <c r="I303" s="2">
        <v>44971</v>
      </c>
      <c r="J303" s="1">
        <v>0.57413597187797238</v>
      </c>
      <c r="K303" s="1">
        <v>0.4</v>
      </c>
      <c r="L303" s="4">
        <f>J303-K303</f>
        <v>0.17413597187797236</v>
      </c>
      <c r="P303" s="4"/>
      <c r="T303" s="4"/>
      <c r="U303" s="2">
        <v>44986</v>
      </c>
      <c r="V303" s="1" t="s">
        <v>52</v>
      </c>
      <c r="W303" s="1" t="s">
        <v>52</v>
      </c>
      <c r="X303" s="1">
        <v>-0.3</v>
      </c>
      <c r="Y303" s="2">
        <v>45561</v>
      </c>
      <c r="Z303" s="5">
        <v>4.592748E-2</v>
      </c>
      <c r="AA303" s="1">
        <v>-2.6</v>
      </c>
      <c r="AB303" s="4">
        <f>Z303-AA303</f>
        <v>2.6459274800000001</v>
      </c>
      <c r="AC303" s="2">
        <v>45527</v>
      </c>
      <c r="AD303" s="5">
        <v>0.73899999999999999</v>
      </c>
      <c r="AE303" s="6">
        <v>0.625</v>
      </c>
      <c r="AF303" s="7">
        <f>AD303-AE303</f>
        <v>0.11399999999999999</v>
      </c>
      <c r="AG303" s="8">
        <v>44985</v>
      </c>
      <c r="AH303" s="6">
        <v>103.4</v>
      </c>
      <c r="AI303" s="1">
        <v>108.5</v>
      </c>
      <c r="AJ303" s="1">
        <f>AH303-AI303</f>
        <v>-5.0999999999999943</v>
      </c>
      <c r="AK303" s="2">
        <v>46007</v>
      </c>
      <c r="AL303" s="1">
        <v>0.43656207366986</v>
      </c>
      <c r="AM303" s="1">
        <v>0.3</v>
      </c>
      <c r="AN303" s="4">
        <f>AL303-AM303</f>
        <v>0.13656207366986001</v>
      </c>
      <c r="AO303" s="2">
        <v>44971</v>
      </c>
      <c r="AP303" s="5">
        <v>0.51707415000000001</v>
      </c>
      <c r="AQ303" s="1">
        <v>0.5</v>
      </c>
      <c r="AR303" s="4">
        <f>AP303-AQ303</f>
        <v>1.707415000000001E-2</v>
      </c>
      <c r="AS303" s="2">
        <v>44964</v>
      </c>
      <c r="AT303" s="5">
        <v>-67.418999999999997</v>
      </c>
      <c r="AU303" s="1">
        <v>-68.5</v>
      </c>
      <c r="AV303" s="4">
        <f>AT303-AU303</f>
        <v>1.0810000000000031</v>
      </c>
      <c r="AW303" s="9">
        <v>44972</v>
      </c>
      <c r="AX303" s="4">
        <v>2.6135383228271299E-2</v>
      </c>
      <c r="AY303" s="6">
        <v>0.5</v>
      </c>
      <c r="AZ303" s="4">
        <f>AX303-AY303</f>
        <v>-0.4738646167717287</v>
      </c>
    </row>
    <row r="304" spans="1:52" s="1" customFormat="1" x14ac:dyDescent="0.2">
      <c r="A304" s="2">
        <v>44995</v>
      </c>
      <c r="B304" s="1">
        <v>311</v>
      </c>
      <c r="C304" s="1">
        <v>205</v>
      </c>
      <c r="D304" s="1">
        <f>B304-C304</f>
        <v>106</v>
      </c>
      <c r="E304" s="2">
        <v>44995</v>
      </c>
      <c r="F304" s="1">
        <v>3.6</v>
      </c>
      <c r="G304" s="1">
        <v>3.4</v>
      </c>
      <c r="H304" s="1">
        <f>F304-G304</f>
        <v>0.20000000000000018</v>
      </c>
      <c r="I304" s="2">
        <v>44999</v>
      </c>
      <c r="J304" s="1">
        <v>0.45192962055090324</v>
      </c>
      <c r="K304" s="1">
        <v>0.4</v>
      </c>
      <c r="L304" s="4">
        <f>J304-K304</f>
        <v>5.1929620550903222E-2</v>
      </c>
      <c r="P304" s="4"/>
      <c r="T304" s="4"/>
      <c r="U304" s="2">
        <v>45019</v>
      </c>
      <c r="V304" s="1" t="s">
        <v>52</v>
      </c>
      <c r="W304" s="1" t="s">
        <v>52</v>
      </c>
      <c r="X304" s="1">
        <v>-1.2</v>
      </c>
      <c r="Y304" s="2">
        <v>45590</v>
      </c>
      <c r="Z304" s="5">
        <v>-0.78357449999999995</v>
      </c>
      <c r="AA304" s="1">
        <v>-1</v>
      </c>
      <c r="AB304" s="4">
        <f>Z304-AA304</f>
        <v>0.21642550000000005</v>
      </c>
      <c r="AC304" s="2">
        <v>45560</v>
      </c>
      <c r="AD304" s="5">
        <v>0.71599999999999997</v>
      </c>
      <c r="AE304" s="6">
        <v>0.7</v>
      </c>
      <c r="AF304" s="7">
        <f>AD304-AE304</f>
        <v>1.6000000000000014E-2</v>
      </c>
      <c r="AG304" s="8">
        <v>45013</v>
      </c>
      <c r="AH304" s="6">
        <v>104</v>
      </c>
      <c r="AI304" s="1">
        <v>101</v>
      </c>
      <c r="AJ304" s="1">
        <f>AH304-AI304</f>
        <v>3</v>
      </c>
      <c r="AK304" s="2">
        <v>46007</v>
      </c>
      <c r="AL304" s="1">
        <v>0.135832654170054</v>
      </c>
      <c r="AM304" s="1">
        <v>0.3</v>
      </c>
      <c r="AN304" s="4">
        <f>AL304-AM304</f>
        <v>-0.16416734582994599</v>
      </c>
      <c r="AO304" s="2">
        <v>44999</v>
      </c>
      <c r="AP304" s="5">
        <v>0.37000559</v>
      </c>
      <c r="AQ304" s="1">
        <v>0.4</v>
      </c>
      <c r="AR304" s="4">
        <f>AP304-AQ304</f>
        <v>-2.9994410000000027E-2</v>
      </c>
      <c r="AS304" s="2">
        <v>44993</v>
      </c>
      <c r="AT304" s="5">
        <v>-68.289000000000001</v>
      </c>
      <c r="AU304" s="1">
        <v>-68.900000000000006</v>
      </c>
      <c r="AV304" s="4">
        <f>AT304-AU304</f>
        <v>0.61100000000000421</v>
      </c>
      <c r="AW304" s="9">
        <v>45002</v>
      </c>
      <c r="AX304" s="4">
        <v>2.9226747929601301E-4</v>
      </c>
      <c r="AY304" s="6">
        <v>0.2</v>
      </c>
      <c r="AZ304" s="4">
        <f>AX304-AY304</f>
        <v>-0.19970773252070401</v>
      </c>
    </row>
    <row r="305" spans="1:52" s="1" customFormat="1" x14ac:dyDescent="0.2">
      <c r="A305" s="2">
        <v>45023</v>
      </c>
      <c r="B305" s="1">
        <v>236</v>
      </c>
      <c r="C305" s="1">
        <v>239</v>
      </c>
      <c r="D305" s="1">
        <f>B305-C305</f>
        <v>-3</v>
      </c>
      <c r="E305" s="2">
        <v>45023</v>
      </c>
      <c r="F305" s="1">
        <v>3.5</v>
      </c>
      <c r="G305" s="1">
        <v>3.6</v>
      </c>
      <c r="H305" s="1">
        <f>F305-G305</f>
        <v>-0.10000000000000009</v>
      </c>
      <c r="I305" s="2">
        <v>45028</v>
      </c>
      <c r="J305" s="1">
        <v>0.38477982043608905</v>
      </c>
      <c r="K305" s="1">
        <v>0.4</v>
      </c>
      <c r="L305" s="4">
        <f>J305-K305</f>
        <v>-1.5220179563910974E-2</v>
      </c>
      <c r="P305" s="4"/>
      <c r="T305" s="4"/>
      <c r="U305" s="2">
        <v>45047</v>
      </c>
      <c r="V305" s="1" t="s">
        <v>52</v>
      </c>
      <c r="W305" s="1" t="s">
        <v>52</v>
      </c>
      <c r="X305" s="1">
        <v>0.3</v>
      </c>
      <c r="Y305" s="2">
        <v>45623</v>
      </c>
      <c r="Z305" s="5">
        <v>0.24277024</v>
      </c>
      <c r="AA305" s="1">
        <v>0.5</v>
      </c>
      <c r="AB305" s="4">
        <f>Z305-AA305</f>
        <v>-0.25722975999999997</v>
      </c>
      <c r="AC305" s="2">
        <v>45589</v>
      </c>
      <c r="AD305" s="5">
        <v>0.73799999999999999</v>
      </c>
      <c r="AE305" s="6">
        <v>0.72</v>
      </c>
      <c r="AF305" s="7">
        <f>AD305-AE305</f>
        <v>1.8000000000000016E-2</v>
      </c>
      <c r="AG305" s="8">
        <v>45041</v>
      </c>
      <c r="AH305" s="6">
        <v>103.7</v>
      </c>
      <c r="AI305" s="1">
        <v>104</v>
      </c>
      <c r="AJ305" s="1">
        <f>AH305-AI305</f>
        <v>-0.29999999999999716</v>
      </c>
      <c r="AK305" s="9"/>
      <c r="AN305" s="4"/>
      <c r="AO305" s="2">
        <v>45028</v>
      </c>
      <c r="AP305" s="5">
        <v>5.3041959999999999E-2</v>
      </c>
      <c r="AQ305" s="1">
        <v>0.2</v>
      </c>
      <c r="AR305" s="4">
        <f>AP305-AQ305</f>
        <v>-0.14695804000000001</v>
      </c>
      <c r="AS305" s="2">
        <v>45021</v>
      </c>
      <c r="AT305" s="5">
        <v>-70.534999999999997</v>
      </c>
      <c r="AU305" s="1">
        <v>-69</v>
      </c>
      <c r="AV305" s="4">
        <f>AT305-AU305</f>
        <v>-1.5349999999999966</v>
      </c>
      <c r="AW305" s="9">
        <v>45030</v>
      </c>
      <c r="AX305" s="4">
        <v>0.376854801781007</v>
      </c>
      <c r="AY305" s="6">
        <v>0.2</v>
      </c>
      <c r="AZ305" s="4">
        <f>AX305-AY305</f>
        <v>0.17685480178100699</v>
      </c>
    </row>
    <row r="306" spans="1:52" s="1" customFormat="1" x14ac:dyDescent="0.2">
      <c r="A306" s="2">
        <v>45051</v>
      </c>
      <c r="B306" s="1">
        <v>253</v>
      </c>
      <c r="C306" s="1">
        <v>180</v>
      </c>
      <c r="D306" s="1">
        <f>B306-C306</f>
        <v>73</v>
      </c>
      <c r="E306" s="2">
        <v>45051</v>
      </c>
      <c r="F306" s="1">
        <v>3.4</v>
      </c>
      <c r="G306" s="1">
        <v>3.6</v>
      </c>
      <c r="H306" s="1">
        <f>F306-G306</f>
        <v>-0.20000000000000018</v>
      </c>
      <c r="I306" s="2">
        <v>45056</v>
      </c>
      <c r="J306" s="1">
        <v>0.40918621412657802</v>
      </c>
      <c r="K306" s="1">
        <v>0.4</v>
      </c>
      <c r="L306" s="4">
        <f>J306-K306</f>
        <v>9.1862141265779962E-3</v>
      </c>
      <c r="P306" s="4"/>
      <c r="T306" s="4"/>
      <c r="U306" s="2">
        <v>45078</v>
      </c>
      <c r="V306" s="1" t="s">
        <v>52</v>
      </c>
      <c r="W306" s="1" t="s">
        <v>52</v>
      </c>
      <c r="X306" s="1">
        <v>-0.1</v>
      </c>
      <c r="Y306" s="2">
        <v>45649</v>
      </c>
      <c r="Z306" s="5">
        <v>-1.0519411000000001</v>
      </c>
      <c r="AA306" s="1">
        <v>-0.3</v>
      </c>
      <c r="AB306" s="4">
        <f>Z306-AA306</f>
        <v>-0.75194110000000003</v>
      </c>
      <c r="AC306" s="2">
        <v>45622</v>
      </c>
      <c r="AD306" s="5">
        <v>0.61</v>
      </c>
      <c r="AE306" s="6">
        <v>0.72499999999999998</v>
      </c>
      <c r="AF306" s="7">
        <f>AD306-AE306</f>
        <v>-0.11499999999999999</v>
      </c>
      <c r="AG306" s="8">
        <v>45076</v>
      </c>
      <c r="AH306" s="6">
        <v>102.5</v>
      </c>
      <c r="AI306" s="1">
        <v>99</v>
      </c>
      <c r="AJ306" s="1">
        <f>AH306-AI306</f>
        <v>3.5</v>
      </c>
      <c r="AK306" s="9"/>
      <c r="AN306" s="4"/>
      <c r="AO306" s="2">
        <v>45056</v>
      </c>
      <c r="AP306" s="5">
        <v>0.36778348999999999</v>
      </c>
      <c r="AQ306" s="1">
        <v>0.4</v>
      </c>
      <c r="AR306" s="4">
        <f>AP306-AQ306</f>
        <v>-3.2216510000000032E-2</v>
      </c>
      <c r="AS306" s="2">
        <v>45050</v>
      </c>
      <c r="AT306" s="5">
        <v>-64.227999999999994</v>
      </c>
      <c r="AU306" s="1">
        <v>-63.3</v>
      </c>
      <c r="AV306" s="4">
        <f>AT306-AU306</f>
        <v>-0.92799999999999727</v>
      </c>
      <c r="AW306" s="9">
        <v>45062</v>
      </c>
      <c r="AX306" s="4">
        <v>0.47879643642831399</v>
      </c>
      <c r="AY306" s="6">
        <v>0</v>
      </c>
      <c r="AZ306" s="4">
        <f>AX306-AY306</f>
        <v>0.47879643642831399</v>
      </c>
    </row>
    <row r="307" spans="1:52" s="1" customFormat="1" x14ac:dyDescent="0.2">
      <c r="A307" s="2">
        <v>45079</v>
      </c>
      <c r="B307" s="1">
        <v>339</v>
      </c>
      <c r="C307" s="1">
        <v>190</v>
      </c>
      <c r="D307" s="1">
        <f>B307-C307</f>
        <v>149</v>
      </c>
      <c r="E307" s="2">
        <v>45079</v>
      </c>
      <c r="F307" s="1">
        <v>3.7</v>
      </c>
      <c r="G307" s="1">
        <v>3.5</v>
      </c>
      <c r="H307" s="1">
        <f>F307-G307</f>
        <v>0.20000000000000018</v>
      </c>
      <c r="I307" s="2">
        <v>45090</v>
      </c>
      <c r="J307" s="1">
        <v>0.43557843837789822</v>
      </c>
      <c r="K307" s="1">
        <v>0.4</v>
      </c>
      <c r="L307" s="4">
        <f>J307-K307</f>
        <v>3.5578438377898203E-2</v>
      </c>
      <c r="P307" s="4"/>
      <c r="T307" s="4"/>
      <c r="U307" s="2">
        <v>45110</v>
      </c>
      <c r="V307" s="1" t="s">
        <v>52</v>
      </c>
      <c r="W307" s="1" t="s">
        <v>52</v>
      </c>
      <c r="X307" s="1">
        <v>-1</v>
      </c>
      <c r="Y307" s="2">
        <v>45685</v>
      </c>
      <c r="Z307" s="5">
        <v>-2.2315483999999999</v>
      </c>
      <c r="AA307" s="1">
        <v>0.6</v>
      </c>
      <c r="AB307" s="4">
        <f>Z307-AA307</f>
        <v>-2.8315484</v>
      </c>
      <c r="AC307" s="2">
        <v>45649</v>
      </c>
      <c r="AD307" s="5">
        <v>0.66400000000000003</v>
      </c>
      <c r="AE307" s="6">
        <v>0.66</v>
      </c>
      <c r="AF307" s="7">
        <f>AD307-AE307</f>
        <v>4.0000000000000036E-3</v>
      </c>
      <c r="AG307" s="8">
        <v>45104</v>
      </c>
      <c r="AH307" s="6">
        <v>110.1</v>
      </c>
      <c r="AI307" s="1">
        <v>104</v>
      </c>
      <c r="AJ307" s="1">
        <f>AH307-AI307</f>
        <v>6.0999999999999943</v>
      </c>
      <c r="AK307" s="9"/>
      <c r="AN307" s="4"/>
      <c r="AO307" s="2">
        <v>45090</v>
      </c>
      <c r="AP307" s="5">
        <v>0.124126</v>
      </c>
      <c r="AQ307" s="1">
        <v>0.2</v>
      </c>
      <c r="AR307" s="4">
        <f>AP307-AQ307</f>
        <v>-7.5874000000000011E-2</v>
      </c>
      <c r="AS307" s="2">
        <v>45084</v>
      </c>
      <c r="AT307" s="5">
        <v>-74.552000000000007</v>
      </c>
      <c r="AU307" s="1">
        <v>-75.2</v>
      </c>
      <c r="AV307" s="4">
        <f>AT307-AU307</f>
        <v>0.64799999999999613</v>
      </c>
      <c r="AW307" s="9">
        <v>45092</v>
      </c>
      <c r="AX307" s="4">
        <v>-0.15905046581142299</v>
      </c>
      <c r="AY307" s="6">
        <v>0.1</v>
      </c>
      <c r="AZ307" s="4">
        <f>AX307-AY307</f>
        <v>-0.25905046581142299</v>
      </c>
    </row>
    <row r="308" spans="1:52" s="1" customFormat="1" x14ac:dyDescent="0.2">
      <c r="A308" s="2">
        <v>45114</v>
      </c>
      <c r="B308" s="1">
        <v>209</v>
      </c>
      <c r="C308" s="1">
        <v>225</v>
      </c>
      <c r="D308" s="1">
        <f>B308-C308</f>
        <v>-16</v>
      </c>
      <c r="E308" s="2">
        <v>45114</v>
      </c>
      <c r="F308" s="1">
        <v>3.6</v>
      </c>
      <c r="G308" s="1">
        <v>3.6</v>
      </c>
      <c r="H308" s="1">
        <f>F308-G308</f>
        <v>0</v>
      </c>
      <c r="I308" s="2">
        <v>45119</v>
      </c>
      <c r="J308" s="1">
        <v>0.1575575653620295</v>
      </c>
      <c r="K308" s="1">
        <v>0.3</v>
      </c>
      <c r="L308" s="4">
        <f>J308-K308</f>
        <v>-0.14244243463797049</v>
      </c>
      <c r="P308" s="4"/>
      <c r="T308" s="4"/>
      <c r="U308" s="2">
        <v>45139</v>
      </c>
      <c r="V308" s="1" t="s">
        <v>52</v>
      </c>
      <c r="W308" s="1" t="s">
        <v>52</v>
      </c>
      <c r="X308" s="1">
        <v>-0.4</v>
      </c>
      <c r="Y308" s="2">
        <v>45715</v>
      </c>
      <c r="Z308" s="5">
        <v>3.1206394899999998</v>
      </c>
      <c r="AA308" s="1">
        <v>2</v>
      </c>
      <c r="AB308" s="4">
        <f>Z308-AA308</f>
        <v>1.1206394899999998</v>
      </c>
      <c r="AC308" s="2">
        <v>45684</v>
      </c>
      <c r="AD308" s="5">
        <v>0.69799999999999995</v>
      </c>
      <c r="AE308" s="6">
        <v>0.67500000000000004</v>
      </c>
      <c r="AF308" s="7">
        <f>AD308-AE308</f>
        <v>2.2999999999999909E-2</v>
      </c>
      <c r="AG308" s="8">
        <v>45132</v>
      </c>
      <c r="AH308" s="6">
        <v>114</v>
      </c>
      <c r="AI308" s="1">
        <v>111.8</v>
      </c>
      <c r="AJ308" s="1">
        <f>AH308-AI308</f>
        <v>2.2000000000000028</v>
      </c>
      <c r="AK308" s="9"/>
      <c r="AN308" s="4"/>
      <c r="AO308" s="2">
        <v>45119</v>
      </c>
      <c r="AP308" s="5">
        <v>0.18035306000000001</v>
      </c>
      <c r="AQ308" s="1">
        <v>0.3</v>
      </c>
      <c r="AR308" s="4">
        <f>AP308-AQ308</f>
        <v>-0.11964693999999998</v>
      </c>
      <c r="AS308" s="2">
        <v>45113</v>
      </c>
      <c r="AT308" s="5">
        <v>-68.981999999999999</v>
      </c>
      <c r="AU308" s="1">
        <v>-69</v>
      </c>
      <c r="AV308" s="4">
        <f>AT308-AU308</f>
        <v>1.8000000000000682E-2</v>
      </c>
      <c r="AW308" s="9">
        <v>45125</v>
      </c>
      <c r="AX308" s="4">
        <v>-0.54200225672153601</v>
      </c>
      <c r="AY308" s="6">
        <v>0</v>
      </c>
      <c r="AZ308" s="4">
        <f>AX308-AY308</f>
        <v>-0.54200225672153601</v>
      </c>
    </row>
    <row r="309" spans="1:52" s="1" customFormat="1" x14ac:dyDescent="0.2">
      <c r="A309" s="2">
        <v>45142</v>
      </c>
      <c r="B309" s="1">
        <v>187</v>
      </c>
      <c r="C309" s="1">
        <v>200</v>
      </c>
      <c r="D309" s="1">
        <f>B309-C309</f>
        <v>-13</v>
      </c>
      <c r="E309" s="2">
        <v>45142</v>
      </c>
      <c r="F309" s="1">
        <v>3.5</v>
      </c>
      <c r="G309" s="1">
        <v>3.6</v>
      </c>
      <c r="H309" s="1">
        <f>F309-G309</f>
        <v>-0.10000000000000009</v>
      </c>
      <c r="I309" s="2">
        <v>45148</v>
      </c>
      <c r="J309" s="1">
        <v>0.1595801614613786</v>
      </c>
      <c r="K309" s="1">
        <v>0.2</v>
      </c>
      <c r="L309" s="4">
        <f>J309-K309</f>
        <v>-4.0419838538621411E-2</v>
      </c>
      <c r="P309" s="4"/>
      <c r="T309" s="4"/>
      <c r="U309" s="2">
        <v>45170</v>
      </c>
      <c r="V309" s="1" t="s">
        <v>52</v>
      </c>
      <c r="W309" s="1" t="s">
        <v>52</v>
      </c>
      <c r="X309" s="1">
        <v>0.6</v>
      </c>
      <c r="Y309" s="2">
        <v>45742</v>
      </c>
      <c r="Z309" s="5">
        <v>0.93823489999999998</v>
      </c>
      <c r="AA309" s="1">
        <v>-1</v>
      </c>
      <c r="AB309" s="4">
        <f>Z309-AA309</f>
        <v>1.9382348999999999</v>
      </c>
      <c r="AC309" s="2">
        <v>45714</v>
      </c>
      <c r="AD309" s="5">
        <v>0.65700000000000003</v>
      </c>
      <c r="AE309" s="6">
        <v>0.68</v>
      </c>
      <c r="AF309" s="7">
        <f>AD309-AE309</f>
        <v>-2.300000000000002E-2</v>
      </c>
      <c r="AG309" s="8">
        <v>45167</v>
      </c>
      <c r="AH309" s="6">
        <v>108.7</v>
      </c>
      <c r="AI309" s="1">
        <v>116</v>
      </c>
      <c r="AJ309" s="1">
        <f>AH309-AI309</f>
        <v>-7.2999999999999972</v>
      </c>
      <c r="AK309" s="9"/>
      <c r="AN309" s="4"/>
      <c r="AO309" s="2">
        <v>45148</v>
      </c>
      <c r="AP309" s="5">
        <v>0.16686359000000001</v>
      </c>
      <c r="AQ309" s="1">
        <v>0.2</v>
      </c>
      <c r="AR309" s="4">
        <f>AP309-AQ309</f>
        <v>-3.3136410000000005E-2</v>
      </c>
      <c r="AS309" s="2">
        <v>45146</v>
      </c>
      <c r="AT309" s="5">
        <v>-65.497</v>
      </c>
      <c r="AU309" s="1">
        <v>-65</v>
      </c>
      <c r="AV309" s="4">
        <f>AT309-AU309</f>
        <v>-0.49699999999999989</v>
      </c>
      <c r="AW309" s="9">
        <v>45154</v>
      </c>
      <c r="AX309" s="4">
        <v>0.99447893406621501</v>
      </c>
      <c r="AY309" s="6">
        <v>0.3</v>
      </c>
      <c r="AZ309" s="4">
        <f>AX309-AY309</f>
        <v>0.69447893406621497</v>
      </c>
    </row>
    <row r="310" spans="1:52" s="1" customFormat="1" x14ac:dyDescent="0.2">
      <c r="A310" s="2">
        <v>45170</v>
      </c>
      <c r="B310" s="1">
        <v>187</v>
      </c>
      <c r="C310" s="1">
        <v>170</v>
      </c>
      <c r="D310" s="1">
        <f>B310-C310</f>
        <v>17</v>
      </c>
      <c r="E310" s="2">
        <v>45170</v>
      </c>
      <c r="F310" s="1">
        <v>3.8</v>
      </c>
      <c r="G310" s="1">
        <v>3.5</v>
      </c>
      <c r="H310" s="1">
        <f>F310-G310</f>
        <v>0.29999999999999982</v>
      </c>
      <c r="I310" s="2">
        <v>45182</v>
      </c>
      <c r="J310" s="1">
        <v>0.278496507459501</v>
      </c>
      <c r="K310" s="1">
        <v>0.2</v>
      </c>
      <c r="L310" s="4">
        <f>J310-K310</f>
        <v>7.8496507459500986E-2</v>
      </c>
      <c r="P310" s="4"/>
      <c r="T310" s="4"/>
      <c r="U310" s="2">
        <v>45201</v>
      </c>
      <c r="V310" s="1" t="s">
        <v>52</v>
      </c>
      <c r="W310" s="1" t="s">
        <v>52</v>
      </c>
      <c r="X310" s="1">
        <v>1.2</v>
      </c>
      <c r="Y310" s="2">
        <v>45771</v>
      </c>
      <c r="Z310" s="5">
        <v>9.1921148200000005</v>
      </c>
      <c r="AA310" s="1">
        <v>2</v>
      </c>
      <c r="AB310" s="4">
        <f>Z310-AA310</f>
        <v>7.1921148200000005</v>
      </c>
      <c r="AC310" s="2">
        <v>45741</v>
      </c>
      <c r="AD310" s="5">
        <v>0.67600000000000005</v>
      </c>
      <c r="AE310" s="6">
        <v>0.67900000000000005</v>
      </c>
      <c r="AF310" s="7">
        <f>AD310-AE310</f>
        <v>-3.0000000000000027E-3</v>
      </c>
      <c r="AG310" s="8">
        <v>45195</v>
      </c>
      <c r="AH310" s="6">
        <v>104.3</v>
      </c>
      <c r="AI310" s="1">
        <v>105.5</v>
      </c>
      <c r="AJ310" s="1">
        <f>AH310-AI310</f>
        <v>-1.2000000000000028</v>
      </c>
      <c r="AK310" s="9"/>
      <c r="AN310" s="4"/>
      <c r="AO310" s="2">
        <v>45182</v>
      </c>
      <c r="AP310" s="5">
        <v>0.63118534999999998</v>
      </c>
      <c r="AQ310" s="1">
        <v>0.6</v>
      </c>
      <c r="AR310" s="4">
        <f>AP310-AQ310</f>
        <v>3.1185350000000001E-2</v>
      </c>
      <c r="AS310" s="2">
        <v>45175</v>
      </c>
      <c r="AT310" s="5">
        <v>-65.022000000000006</v>
      </c>
      <c r="AU310" s="1">
        <v>-68</v>
      </c>
      <c r="AV310" s="4">
        <f>AT310-AU310</f>
        <v>2.9779999999999944</v>
      </c>
      <c r="AW310" s="9">
        <v>45184</v>
      </c>
      <c r="AX310" s="4">
        <v>0.38470492375742599</v>
      </c>
      <c r="AY310" s="6">
        <v>0.1</v>
      </c>
      <c r="AZ310" s="4">
        <f>AX310-AY310</f>
        <v>0.28470492375742595</v>
      </c>
    </row>
    <row r="311" spans="1:52" s="1" customFormat="1" x14ac:dyDescent="0.2">
      <c r="A311" s="2">
        <v>45205</v>
      </c>
      <c r="B311" s="1">
        <v>336</v>
      </c>
      <c r="C311" s="1">
        <v>170</v>
      </c>
      <c r="D311" s="1">
        <f>B311-C311</f>
        <v>166</v>
      </c>
      <c r="E311" s="2">
        <v>45205</v>
      </c>
      <c r="F311" s="1">
        <v>3.8</v>
      </c>
      <c r="G311" s="1">
        <v>3.7</v>
      </c>
      <c r="H311" s="1">
        <f>F311-G311</f>
        <v>9.9999999999999645E-2</v>
      </c>
      <c r="I311" s="2">
        <v>45211</v>
      </c>
      <c r="J311" s="1">
        <v>0.32293378888526486</v>
      </c>
      <c r="K311" s="1">
        <v>0.3</v>
      </c>
      <c r="L311" s="4">
        <f>J311-K311</f>
        <v>2.2933788885264872E-2</v>
      </c>
      <c r="P311" s="4"/>
      <c r="T311" s="4"/>
      <c r="U311" s="2">
        <v>45231</v>
      </c>
      <c r="V311" s="1" t="s">
        <v>52</v>
      </c>
      <c r="W311" s="1" t="s">
        <v>52</v>
      </c>
      <c r="X311" s="1">
        <v>-2.2999999999999998</v>
      </c>
      <c r="Y311" s="2">
        <v>45804</v>
      </c>
      <c r="Z311" s="5">
        <v>-6.3017250999999996</v>
      </c>
      <c r="AA311" s="1">
        <v>-7.8</v>
      </c>
      <c r="AB311" s="4">
        <f>Z311-AA311</f>
        <v>1.4982749000000002</v>
      </c>
      <c r="AC311" s="2">
        <v>45770</v>
      </c>
      <c r="AD311" s="5">
        <v>0.72399999999999998</v>
      </c>
      <c r="AE311" s="6">
        <v>0.68</v>
      </c>
      <c r="AF311" s="7">
        <f>AD311-AE311</f>
        <v>4.3999999999999928E-2</v>
      </c>
      <c r="AG311" s="8">
        <v>45230</v>
      </c>
      <c r="AH311" s="6">
        <v>99.1</v>
      </c>
      <c r="AI311" s="1">
        <v>100</v>
      </c>
      <c r="AJ311" s="1">
        <f>AH311-AI311</f>
        <v>-0.90000000000000568</v>
      </c>
      <c r="AK311" s="9"/>
      <c r="AN311" s="4"/>
      <c r="AO311" s="2">
        <v>45211</v>
      </c>
      <c r="AP311" s="5">
        <v>0.39573055000000001</v>
      </c>
      <c r="AQ311" s="1">
        <v>0.3</v>
      </c>
      <c r="AR311" s="4">
        <f>AP311-AQ311</f>
        <v>9.5730550000000025E-2</v>
      </c>
      <c r="AS311" s="2">
        <v>45204</v>
      </c>
      <c r="AT311" s="5">
        <v>-58.302999999999997</v>
      </c>
      <c r="AU311" s="1">
        <v>-62.3</v>
      </c>
      <c r="AV311" s="4">
        <f>AT311-AU311</f>
        <v>3.9969999999999999</v>
      </c>
      <c r="AW311" s="9">
        <v>45216</v>
      </c>
      <c r="AX311" s="4">
        <v>0.285045055508787</v>
      </c>
      <c r="AY311" s="6">
        <v>0</v>
      </c>
      <c r="AZ311" s="4">
        <f>AX311-AY311</f>
        <v>0.285045055508787</v>
      </c>
    </row>
    <row r="312" spans="1:52" s="1" customFormat="1" x14ac:dyDescent="0.2">
      <c r="A312" s="2">
        <v>45233</v>
      </c>
      <c r="B312" s="1">
        <v>150</v>
      </c>
      <c r="C312" s="1">
        <v>180</v>
      </c>
      <c r="D312" s="1">
        <f>B312-C312</f>
        <v>-30</v>
      </c>
      <c r="E312" s="2">
        <v>45233</v>
      </c>
      <c r="F312" s="1">
        <v>3.9</v>
      </c>
      <c r="G312" s="1">
        <v>3.8</v>
      </c>
      <c r="H312" s="1">
        <f>F312-G312</f>
        <v>0.10000000000000009</v>
      </c>
      <c r="I312" s="2">
        <v>45244</v>
      </c>
      <c r="J312" s="1">
        <v>0.22661357556951395</v>
      </c>
      <c r="K312" s="1">
        <v>0.3</v>
      </c>
      <c r="L312" s="4">
        <f>J312-K312</f>
        <v>-7.3386424430486041E-2</v>
      </c>
      <c r="P312" s="4"/>
      <c r="T312" s="4"/>
      <c r="U312" s="2">
        <v>45261</v>
      </c>
      <c r="V312" s="1" t="s">
        <v>52</v>
      </c>
      <c r="W312" s="1" t="s">
        <v>52</v>
      </c>
      <c r="X312" s="1">
        <v>-0.9</v>
      </c>
      <c r="Y312" s="2">
        <v>45834</v>
      </c>
      <c r="Z312" s="5">
        <v>16.368507300000001</v>
      </c>
      <c r="AA312" s="1">
        <v>8.5</v>
      </c>
      <c r="AB312" s="4">
        <f>Z312-AA312</f>
        <v>7.868507300000001</v>
      </c>
      <c r="AC312" s="2">
        <v>45800</v>
      </c>
      <c r="AD312" s="5">
        <v>0.74299999999999999</v>
      </c>
      <c r="AE312" s="6">
        <v>0.69299999999999995</v>
      </c>
      <c r="AF312" s="7">
        <f>AD312-AE312</f>
        <v>5.0000000000000044E-2</v>
      </c>
      <c r="AG312" s="8">
        <v>45258</v>
      </c>
      <c r="AH312" s="6">
        <v>101</v>
      </c>
      <c r="AI312" s="1">
        <v>101</v>
      </c>
      <c r="AJ312" s="1">
        <f>AH312-AI312</f>
        <v>0</v>
      </c>
      <c r="AK312" s="9"/>
      <c r="AN312" s="4"/>
      <c r="AO312" s="2">
        <v>45244</v>
      </c>
      <c r="AP312" s="5">
        <v>4.4880820000000002E-2</v>
      </c>
      <c r="AQ312" s="1">
        <v>0.1</v>
      </c>
      <c r="AR312" s="4">
        <f>AP312-AQ312</f>
        <v>-5.5119180000000004E-2</v>
      </c>
      <c r="AS312" s="2">
        <v>45237</v>
      </c>
      <c r="AT312" s="5">
        <v>-61.542000000000002</v>
      </c>
      <c r="AU312" s="1">
        <v>-59.9</v>
      </c>
      <c r="AV312" s="4">
        <f>AT312-AU312</f>
        <v>-1.642000000000003</v>
      </c>
      <c r="AW312" s="9">
        <v>45246</v>
      </c>
      <c r="AX312" s="4">
        <v>-0.63484201024918496</v>
      </c>
      <c r="AY312" s="6">
        <v>-0.3</v>
      </c>
      <c r="AZ312" s="4">
        <f>AX312-AY312</f>
        <v>-0.33484201024918497</v>
      </c>
    </row>
    <row r="313" spans="1:52" s="1" customFormat="1" x14ac:dyDescent="0.2">
      <c r="A313" s="2">
        <v>45268</v>
      </c>
      <c r="B313" s="1">
        <v>199</v>
      </c>
      <c r="C313" s="1">
        <v>180</v>
      </c>
      <c r="D313" s="1">
        <f>B313-C313</f>
        <v>19</v>
      </c>
      <c r="E313" s="2">
        <v>45268</v>
      </c>
      <c r="F313" s="1">
        <v>3.7</v>
      </c>
      <c r="G313" s="1">
        <v>3.9</v>
      </c>
      <c r="H313" s="1">
        <f>F313-G313</f>
        <v>-0.19999999999999973</v>
      </c>
      <c r="I313" s="2">
        <v>45272</v>
      </c>
      <c r="J313" s="1">
        <v>0.28455349830583632</v>
      </c>
      <c r="K313" s="1">
        <v>0.3</v>
      </c>
      <c r="L313" s="4">
        <f>J313-K313</f>
        <v>-1.5446501694163672E-2</v>
      </c>
      <c r="P313" s="4"/>
      <c r="T313" s="4"/>
      <c r="U313" s="2">
        <v>45294</v>
      </c>
      <c r="V313" s="1" t="s">
        <v>52</v>
      </c>
      <c r="W313" s="1" t="s">
        <v>52</v>
      </c>
      <c r="X313" s="1">
        <v>0.3</v>
      </c>
      <c r="Y313" s="2">
        <v>45863</v>
      </c>
      <c r="Z313" s="5">
        <v>-9.3415043000000004</v>
      </c>
      <c r="AA313" s="1">
        <v>-10.8</v>
      </c>
      <c r="AB313" s="4">
        <f>Z313-AA313</f>
        <v>1.4584957000000003</v>
      </c>
      <c r="AC313" s="2">
        <v>45833</v>
      </c>
      <c r="AD313" s="5">
        <v>0.623</v>
      </c>
      <c r="AE313" s="6">
        <v>0.69299999999999995</v>
      </c>
      <c r="AF313" s="7">
        <f>AD313-AE313</f>
        <v>-6.9999999999999951E-2</v>
      </c>
      <c r="AG313" s="8">
        <v>45280</v>
      </c>
      <c r="AH313" s="6">
        <v>108</v>
      </c>
      <c r="AI313" s="1">
        <v>104</v>
      </c>
      <c r="AJ313" s="1">
        <f>AH313-AI313</f>
        <v>4</v>
      </c>
      <c r="AK313" s="9"/>
      <c r="AN313" s="4"/>
      <c r="AO313" s="2">
        <v>45272</v>
      </c>
      <c r="AP313" s="5">
        <v>9.687308E-2</v>
      </c>
      <c r="AQ313" s="1">
        <v>0</v>
      </c>
      <c r="AR313" s="4">
        <f>AP313-AQ313</f>
        <v>9.687308E-2</v>
      </c>
      <c r="AS313" s="2">
        <v>45266</v>
      </c>
      <c r="AT313" s="5">
        <v>-64.254999999999995</v>
      </c>
      <c r="AU313" s="1">
        <v>-64.2</v>
      </c>
      <c r="AV313" s="4">
        <f>AT313-AU313</f>
        <v>-5.499999999999261E-2</v>
      </c>
      <c r="AW313" s="9">
        <v>45275</v>
      </c>
      <c r="AX313" s="4">
        <v>0.24038531950646</v>
      </c>
      <c r="AY313" s="6">
        <v>0.3</v>
      </c>
      <c r="AZ313" s="4">
        <f>AX313-AY313</f>
        <v>-5.961468049353999E-2</v>
      </c>
    </row>
    <row r="314" spans="1:52" s="1" customFormat="1" x14ac:dyDescent="0.2">
      <c r="A314" s="2">
        <v>45296</v>
      </c>
      <c r="B314" s="1">
        <v>216</v>
      </c>
      <c r="C314" s="1">
        <v>170</v>
      </c>
      <c r="D314" s="1">
        <f>B314-C314</f>
        <v>46</v>
      </c>
      <c r="E314" s="2">
        <v>45296</v>
      </c>
      <c r="F314" s="1">
        <v>3.7</v>
      </c>
      <c r="G314" s="1">
        <v>3.8</v>
      </c>
      <c r="H314" s="1">
        <f>F314-G314</f>
        <v>-9.9999999999999645E-2</v>
      </c>
      <c r="I314" s="2">
        <v>45302</v>
      </c>
      <c r="J314" s="1">
        <v>0.30904624805045677</v>
      </c>
      <c r="K314" s="1">
        <v>0.3</v>
      </c>
      <c r="L314" s="4">
        <f>J314-K314</f>
        <v>9.0462480504567844E-3</v>
      </c>
      <c r="P314" s="4"/>
      <c r="T314" s="4"/>
      <c r="U314" s="2">
        <v>45323</v>
      </c>
      <c r="V314" s="1" t="s">
        <v>52</v>
      </c>
      <c r="W314" s="1" t="s">
        <v>52</v>
      </c>
      <c r="X314" s="1">
        <v>2.1</v>
      </c>
      <c r="Y314" s="2">
        <v>45895</v>
      </c>
      <c r="Z314" s="5">
        <v>-2.8175297000000001</v>
      </c>
      <c r="AA314" s="1">
        <v>-4</v>
      </c>
      <c r="AB314" s="4">
        <f>Z314-AA314</f>
        <v>1.1824702999999999</v>
      </c>
      <c r="AC314" s="2">
        <v>45862</v>
      </c>
      <c r="AD314" s="5">
        <v>0.627</v>
      </c>
      <c r="AE314" s="6">
        <v>0.65</v>
      </c>
      <c r="AF314" s="7">
        <f>AD314-AE314</f>
        <v>-2.300000000000002E-2</v>
      </c>
      <c r="AG314" s="8">
        <v>45321</v>
      </c>
      <c r="AH314" s="6">
        <v>110.9</v>
      </c>
      <c r="AI314" s="1">
        <v>115</v>
      </c>
      <c r="AJ314" s="1">
        <f>AH314-AI314</f>
        <v>-4.0999999999999943</v>
      </c>
      <c r="AK314" s="9"/>
      <c r="AN314" s="4"/>
      <c r="AO314" s="2">
        <v>45302</v>
      </c>
      <c r="AP314" s="5">
        <v>0.30300373000000003</v>
      </c>
      <c r="AQ314" s="1">
        <v>0.2</v>
      </c>
      <c r="AR314" s="4">
        <f>AP314-AQ314</f>
        <v>0.10300373000000002</v>
      </c>
      <c r="AS314" s="2">
        <v>45300</v>
      </c>
      <c r="AT314" s="5">
        <v>-63.207000000000001</v>
      </c>
      <c r="AU314" s="1">
        <v>-65</v>
      </c>
      <c r="AV314" s="4">
        <f>AT314-AU314</f>
        <v>1.7929999999999993</v>
      </c>
      <c r="AW314" s="9">
        <v>45308</v>
      </c>
      <c r="AX314" s="4">
        <v>5.2621250979935301E-2</v>
      </c>
      <c r="AY314" s="6">
        <v>0</v>
      </c>
      <c r="AZ314" s="4">
        <f>AX314-AY314</f>
        <v>5.2621250979935301E-2</v>
      </c>
    </row>
    <row r="315" spans="1:52" s="1" customFormat="1" x14ac:dyDescent="0.2">
      <c r="A315" s="2">
        <v>45324</v>
      </c>
      <c r="B315" s="1">
        <v>353</v>
      </c>
      <c r="C315" s="1">
        <v>180</v>
      </c>
      <c r="D315" s="1">
        <f>B315-C315</f>
        <v>173</v>
      </c>
      <c r="E315" s="2">
        <v>45324</v>
      </c>
      <c r="F315" s="1">
        <v>3.7</v>
      </c>
      <c r="G315" s="1">
        <v>3.8</v>
      </c>
      <c r="H315" s="1">
        <f>F315-G315</f>
        <v>-9.9999999999999645E-2</v>
      </c>
      <c r="I315" s="2">
        <v>45335</v>
      </c>
      <c r="J315" s="1">
        <v>0.39014609726194699</v>
      </c>
      <c r="K315" s="1">
        <v>0.3</v>
      </c>
      <c r="L315" s="4">
        <f>J315-K315</f>
        <v>9.0146097261947E-2</v>
      </c>
      <c r="P315" s="4"/>
      <c r="T315" s="4"/>
      <c r="U315" s="2">
        <v>45352</v>
      </c>
      <c r="V315" s="1" t="s">
        <v>52</v>
      </c>
      <c r="W315" s="1" t="s">
        <v>52</v>
      </c>
      <c r="X315" s="1">
        <v>-1.7</v>
      </c>
      <c r="Y315" s="2">
        <v>45925</v>
      </c>
      <c r="Z315" s="5">
        <v>2.9225126800000001</v>
      </c>
      <c r="AA315" s="1">
        <v>-0.5</v>
      </c>
      <c r="AB315" s="4">
        <f>Z315-AA315</f>
        <v>3.4225126800000001</v>
      </c>
      <c r="AC315" s="2">
        <v>45894</v>
      </c>
      <c r="AD315" s="5">
        <v>0.65200000000000002</v>
      </c>
      <c r="AE315" s="6">
        <v>0.63</v>
      </c>
      <c r="AF315" s="7">
        <f>AD315-AE315</f>
        <v>2.200000000000002E-2</v>
      </c>
      <c r="AG315" s="8">
        <v>45349</v>
      </c>
      <c r="AH315" s="6">
        <v>104.8</v>
      </c>
      <c r="AI315" s="1">
        <v>115</v>
      </c>
      <c r="AJ315" s="1">
        <f>AH315-AI315</f>
        <v>-10.200000000000003</v>
      </c>
      <c r="AK315" s="9"/>
      <c r="AN315" s="4"/>
      <c r="AO315" s="2">
        <v>45335</v>
      </c>
      <c r="AP315" s="5">
        <v>0.30543302</v>
      </c>
      <c r="AQ315" s="1">
        <v>0.2</v>
      </c>
      <c r="AR315" s="4">
        <f>AP315-AQ315</f>
        <v>0.10543301999999999</v>
      </c>
      <c r="AS315" s="2">
        <v>45329</v>
      </c>
      <c r="AT315" s="5">
        <v>-62.201000000000001</v>
      </c>
      <c r="AU315" s="1">
        <v>-62.2</v>
      </c>
      <c r="AV315" s="4">
        <f>AT315-AU315</f>
        <v>-9.9999999999766942E-4</v>
      </c>
      <c r="AW315" s="9">
        <v>45337</v>
      </c>
      <c r="AX315" s="4">
        <v>-9.5060459816015005E-2</v>
      </c>
      <c r="AY315" s="6">
        <v>0.3</v>
      </c>
      <c r="AZ315" s="4">
        <f>AX315-AY315</f>
        <v>-0.39506045981601501</v>
      </c>
    </row>
    <row r="316" spans="1:52" s="1" customFormat="1" x14ac:dyDescent="0.2">
      <c r="A316" s="2">
        <v>45359</v>
      </c>
      <c r="B316" s="1">
        <v>275</v>
      </c>
      <c r="C316" s="1">
        <v>200</v>
      </c>
      <c r="D316" s="1">
        <f>B316-C316</f>
        <v>75</v>
      </c>
      <c r="E316" s="2">
        <v>45359</v>
      </c>
      <c r="F316" s="1">
        <v>3.9</v>
      </c>
      <c r="G316" s="1">
        <v>3.7</v>
      </c>
      <c r="H316" s="1">
        <f>F316-G316</f>
        <v>0.19999999999999973</v>
      </c>
      <c r="I316" s="2">
        <v>45363</v>
      </c>
      <c r="J316" s="1">
        <v>0.35841723964661065</v>
      </c>
      <c r="K316" s="1">
        <v>0.3</v>
      </c>
      <c r="L316" s="4">
        <f>J316-K316</f>
        <v>5.8417239646610664E-2</v>
      </c>
      <c r="P316" s="4"/>
      <c r="T316" s="4"/>
      <c r="U316" s="2">
        <v>45383</v>
      </c>
      <c r="V316" s="1" t="s">
        <v>52</v>
      </c>
      <c r="W316" s="1" t="s">
        <v>52</v>
      </c>
      <c r="X316" s="1">
        <v>1.9</v>
      </c>
      <c r="Y316" s="2">
        <v>45987</v>
      </c>
      <c r="Z316" s="5">
        <v>0.48407455999999999</v>
      </c>
      <c r="AA316" s="1">
        <v>0.9</v>
      </c>
      <c r="AB316" s="4">
        <f>Z316-AA316</f>
        <v>-0.41592544000000004</v>
      </c>
      <c r="AC316" s="2">
        <v>45924</v>
      </c>
      <c r="AD316" s="5">
        <v>0.8</v>
      </c>
      <c r="AE316" s="6">
        <v>0.65</v>
      </c>
      <c r="AF316" s="7">
        <f>AD316-AE316</f>
        <v>0.15000000000000002</v>
      </c>
      <c r="AG316" s="8">
        <v>45377</v>
      </c>
      <c r="AH316" s="6">
        <v>103.1</v>
      </c>
      <c r="AI316" s="1">
        <v>107</v>
      </c>
      <c r="AJ316" s="1">
        <f>AH316-AI316</f>
        <v>-3.9000000000000057</v>
      </c>
      <c r="AK316" s="9"/>
      <c r="AN316" s="4"/>
      <c r="AO316" s="2">
        <v>45363</v>
      </c>
      <c r="AP316" s="5">
        <v>0.44206210000000001</v>
      </c>
      <c r="AQ316" s="1">
        <v>0.4</v>
      </c>
      <c r="AR316" s="4">
        <f>AP316-AQ316</f>
        <v>4.2062099999999991E-2</v>
      </c>
      <c r="AS316" s="2">
        <v>45358</v>
      </c>
      <c r="AT316" s="5">
        <v>-67.433999999999997</v>
      </c>
      <c r="AU316" s="1">
        <v>-63.5</v>
      </c>
      <c r="AV316" s="4">
        <f>AT316-AU316</f>
        <v>-3.9339999999999975</v>
      </c>
      <c r="AW316" s="9">
        <v>45366</v>
      </c>
      <c r="AX316" s="4">
        <v>0.103888379664095</v>
      </c>
      <c r="AY316" s="6">
        <v>0</v>
      </c>
      <c r="AZ316" s="4">
        <f>AX316-AY316</f>
        <v>0.103888379664095</v>
      </c>
    </row>
    <row r="317" spans="1:52" s="1" customFormat="1" x14ac:dyDescent="0.2">
      <c r="A317" s="2">
        <v>45387</v>
      </c>
      <c r="B317" s="1">
        <v>303</v>
      </c>
      <c r="C317" s="1">
        <v>200</v>
      </c>
      <c r="D317" s="1">
        <f>B317-C317</f>
        <v>103</v>
      </c>
      <c r="E317" s="2">
        <v>45387</v>
      </c>
      <c r="F317" s="1">
        <v>3.8</v>
      </c>
      <c r="G317" s="1">
        <v>3.9</v>
      </c>
      <c r="H317" s="1">
        <f>F317-G317</f>
        <v>-0.10000000000000009</v>
      </c>
      <c r="I317" s="2">
        <v>45392</v>
      </c>
      <c r="J317" s="1">
        <v>0.3590385499025498</v>
      </c>
      <c r="K317" s="1">
        <v>0.3</v>
      </c>
      <c r="L317" s="4">
        <f>J317-K317</f>
        <v>5.9038549902549808E-2</v>
      </c>
      <c r="P317" s="4"/>
      <c r="T317" s="4"/>
      <c r="U317" s="2">
        <v>45413</v>
      </c>
      <c r="V317" s="1" t="s">
        <v>52</v>
      </c>
      <c r="W317" s="1" t="s">
        <v>52</v>
      </c>
      <c r="X317" s="1">
        <v>-0.8</v>
      </c>
      <c r="Y317" s="2">
        <v>46014</v>
      </c>
      <c r="Z317" s="5">
        <v>-2.1652985999999999</v>
      </c>
      <c r="AA317" s="1">
        <v>-1.5</v>
      </c>
      <c r="AB317" s="4">
        <f>Z317-AA317</f>
        <v>-0.66529859999999985</v>
      </c>
      <c r="AE317" s="6"/>
      <c r="AF317" s="7"/>
      <c r="AG317" s="8">
        <v>45412</v>
      </c>
      <c r="AH317" s="6">
        <v>97.5</v>
      </c>
      <c r="AI317" s="1">
        <v>104</v>
      </c>
      <c r="AJ317" s="1">
        <f>AH317-AI317</f>
        <v>-6.5</v>
      </c>
      <c r="AK317" s="9"/>
      <c r="AN317" s="4"/>
      <c r="AO317" s="2">
        <v>45392</v>
      </c>
      <c r="AP317" s="5">
        <v>0.3780694</v>
      </c>
      <c r="AQ317" s="1">
        <v>0.3</v>
      </c>
      <c r="AR317" s="4">
        <f>AP317-AQ317</f>
        <v>7.8069400000000011E-2</v>
      </c>
      <c r="AS317" s="2">
        <v>45386</v>
      </c>
      <c r="AT317" s="5">
        <v>-68.900999999999996</v>
      </c>
      <c r="AU317" s="1">
        <v>-67.3</v>
      </c>
      <c r="AV317" s="4">
        <f>AT317-AU317</f>
        <v>-1.6009999999999991</v>
      </c>
      <c r="AW317" s="9">
        <v>45398</v>
      </c>
      <c r="AX317" s="4">
        <v>0.38900879034695202</v>
      </c>
      <c r="AY317" s="6">
        <v>0.4</v>
      </c>
      <c r="AZ317" s="4">
        <f>AX317-AY317</f>
        <v>-1.0991209653048006E-2</v>
      </c>
    </row>
    <row r="318" spans="1:52" s="1" customFormat="1" x14ac:dyDescent="0.2">
      <c r="A318" s="2">
        <v>45415</v>
      </c>
      <c r="B318" s="1">
        <v>175</v>
      </c>
      <c r="D318" s="1">
        <v>-68</v>
      </c>
      <c r="E318" s="2">
        <v>45415</v>
      </c>
      <c r="F318" s="1">
        <v>3.9</v>
      </c>
      <c r="G318" s="1">
        <v>3.8</v>
      </c>
      <c r="H318" s="1">
        <f>F318-G318</f>
        <v>0.10000000000000009</v>
      </c>
      <c r="I318" s="2">
        <v>45427</v>
      </c>
      <c r="J318" s="1">
        <v>0.29176060474017362</v>
      </c>
      <c r="K318" s="1">
        <v>0.3</v>
      </c>
      <c r="L318" s="4">
        <f>J318-K318</f>
        <v>-8.2393952598263653E-3</v>
      </c>
      <c r="P318" s="4"/>
      <c r="T318" s="4"/>
      <c r="U318" s="2">
        <v>45446</v>
      </c>
      <c r="V318" s="1" t="s">
        <v>52</v>
      </c>
      <c r="W318" s="1" t="s">
        <v>52</v>
      </c>
      <c r="X318" s="1">
        <v>-0.9</v>
      </c>
      <c r="AB318" s="4"/>
      <c r="AE318" s="6"/>
      <c r="AF318" s="7"/>
      <c r="AG318" s="8">
        <v>45440</v>
      </c>
      <c r="AH318" s="6">
        <v>101.3</v>
      </c>
      <c r="AI318" s="1">
        <v>95.9</v>
      </c>
      <c r="AJ318" s="1">
        <f>AH318-AI318</f>
        <v>5.3999999999999915</v>
      </c>
      <c r="AK318" s="6"/>
      <c r="AN318" s="4"/>
      <c r="AO318" s="2">
        <v>45427</v>
      </c>
      <c r="AP318" s="5">
        <v>0.31291035</v>
      </c>
      <c r="AQ318" s="1">
        <v>0.4</v>
      </c>
      <c r="AR318" s="4">
        <f>AP318-AQ318</f>
        <v>-8.7089650000000018E-2</v>
      </c>
      <c r="AS318" s="2">
        <v>45414</v>
      </c>
      <c r="AT318" s="5">
        <v>-69.372</v>
      </c>
      <c r="AU318" s="1">
        <v>-69.099999999999994</v>
      </c>
      <c r="AV318" s="4">
        <f>AT318-AU318</f>
        <v>-0.27200000000000557</v>
      </c>
      <c r="AW318" s="9">
        <v>45428</v>
      </c>
      <c r="AX318" s="4">
        <v>5.9363814543446801E-3</v>
      </c>
      <c r="AY318" s="6">
        <v>0.1</v>
      </c>
      <c r="AZ318" s="4">
        <f>AX318-AY318</f>
        <v>-9.4063618545655328E-2</v>
      </c>
    </row>
    <row r="319" spans="1:52" s="1" customFormat="1" x14ac:dyDescent="0.2">
      <c r="A319" s="2">
        <v>45450</v>
      </c>
      <c r="B319" s="1">
        <v>272</v>
      </c>
      <c r="D319" s="1">
        <v>87</v>
      </c>
      <c r="E319" s="2">
        <v>45450</v>
      </c>
      <c r="F319" s="1">
        <v>4</v>
      </c>
      <c r="G319" s="1">
        <v>3.9</v>
      </c>
      <c r="H319" s="1">
        <f>F319-G319</f>
        <v>0.10000000000000009</v>
      </c>
      <c r="I319" s="2">
        <v>45455</v>
      </c>
      <c r="J319" s="1">
        <v>0.16308693982154016</v>
      </c>
      <c r="K319" s="1">
        <v>0.3</v>
      </c>
      <c r="L319" s="4">
        <f>J319-K319</f>
        <v>-0.13691306017845983</v>
      </c>
      <c r="P319" s="4"/>
      <c r="T319" s="4"/>
      <c r="U319" s="2">
        <v>45474</v>
      </c>
      <c r="V319" s="1" t="s">
        <v>52</v>
      </c>
      <c r="W319" s="1" t="s">
        <v>52</v>
      </c>
      <c r="X319" s="1">
        <v>-0.6</v>
      </c>
      <c r="AB319" s="4"/>
      <c r="AE319" s="6"/>
      <c r="AF319" s="7"/>
      <c r="AG319" s="8">
        <v>45468</v>
      </c>
      <c r="AH319" s="6">
        <v>97.8</v>
      </c>
      <c r="AI319" s="1">
        <v>100</v>
      </c>
      <c r="AJ319" s="1">
        <f>AH319-AI319</f>
        <v>-2.2000000000000028</v>
      </c>
      <c r="AK319" s="6"/>
      <c r="AN319" s="4"/>
      <c r="AO319" s="2">
        <v>45455</v>
      </c>
      <c r="AP319" s="5">
        <v>5.7470000000000004E-3</v>
      </c>
      <c r="AQ319" s="1">
        <v>0.1</v>
      </c>
      <c r="AR319" s="4">
        <f>AP319-AQ319</f>
        <v>-9.4253000000000003E-2</v>
      </c>
      <c r="AS319" s="2">
        <v>45449</v>
      </c>
      <c r="AT319" s="5">
        <v>-74.558000000000007</v>
      </c>
      <c r="AU319" s="1">
        <v>-76.099999999999994</v>
      </c>
      <c r="AV319" s="4">
        <f>AT319-AU319</f>
        <v>1.5419999999999874</v>
      </c>
      <c r="AW319" s="9">
        <v>45461</v>
      </c>
      <c r="AX319" s="4">
        <v>0.852767125373457</v>
      </c>
      <c r="AY319" s="6">
        <v>0.3</v>
      </c>
      <c r="AZ319" s="4">
        <f>AX319-AY319</f>
        <v>0.55276712537345696</v>
      </c>
    </row>
    <row r="320" spans="1:52" s="1" customFormat="1" x14ac:dyDescent="0.2">
      <c r="A320" s="2">
        <v>45478</v>
      </c>
      <c r="B320" s="1">
        <v>206</v>
      </c>
      <c r="D320" s="1">
        <v>16</v>
      </c>
      <c r="E320" s="2">
        <v>45478</v>
      </c>
      <c r="F320" s="1">
        <v>4.0999999999999996</v>
      </c>
      <c r="G320" s="1">
        <v>4</v>
      </c>
      <c r="H320" s="1">
        <f>F320-G320</f>
        <v>9.9999999999999645E-2</v>
      </c>
      <c r="I320" s="2">
        <v>45484</v>
      </c>
      <c r="J320" s="1">
        <v>6.4751367322567824E-2</v>
      </c>
      <c r="K320" s="1">
        <v>0.2</v>
      </c>
      <c r="L320" s="4">
        <f>J320-K320</f>
        <v>-0.1352486326774322</v>
      </c>
      <c r="P320" s="4"/>
      <c r="T320" s="4"/>
      <c r="U320" s="2">
        <v>45505</v>
      </c>
      <c r="V320" s="1" t="s">
        <v>52</v>
      </c>
      <c r="W320" s="1" t="s">
        <v>52</v>
      </c>
      <c r="X320" s="1">
        <v>-2</v>
      </c>
      <c r="AB320" s="4"/>
      <c r="AE320" s="6"/>
      <c r="AF320" s="7"/>
      <c r="AG320" s="8">
        <v>45503</v>
      </c>
      <c r="AH320" s="6">
        <v>101.9</v>
      </c>
      <c r="AI320" s="1">
        <v>99.7</v>
      </c>
      <c r="AJ320" s="1">
        <f>AH320-AI320</f>
        <v>2.2000000000000028</v>
      </c>
      <c r="AK320" s="6"/>
      <c r="AN320" s="4"/>
      <c r="AO320" s="2">
        <v>45484</v>
      </c>
      <c r="AP320" s="5">
        <v>-5.6189599999999999E-2</v>
      </c>
      <c r="AQ320" s="1">
        <v>0.1</v>
      </c>
      <c r="AR320" s="4">
        <f>AP320-AQ320</f>
        <v>-0.15618960000000001</v>
      </c>
      <c r="AS320" s="2">
        <v>45476</v>
      </c>
      <c r="AT320" s="5">
        <v>-75.070999999999998</v>
      </c>
      <c r="AU320" s="1">
        <v>-76.2</v>
      </c>
      <c r="AV320" s="4">
        <f>AT320-AU320</f>
        <v>1.1290000000000049</v>
      </c>
      <c r="AW320" s="9">
        <v>45490</v>
      </c>
      <c r="AX320" s="4">
        <v>0.64445136951965398</v>
      </c>
      <c r="AY320" s="6">
        <v>0.3</v>
      </c>
      <c r="AZ320" s="4">
        <f>AX320-AY320</f>
        <v>0.34445136951965399</v>
      </c>
    </row>
    <row r="321" spans="1:52" s="1" customFormat="1" x14ac:dyDescent="0.2">
      <c r="A321" s="2">
        <v>45506</v>
      </c>
      <c r="B321" s="1">
        <v>114</v>
      </c>
      <c r="D321" s="1">
        <v>-61</v>
      </c>
      <c r="E321" s="2">
        <v>45506</v>
      </c>
      <c r="F321" s="1">
        <v>4.3</v>
      </c>
      <c r="G321" s="1">
        <v>4.0999999999999996</v>
      </c>
      <c r="H321" s="1">
        <f>F321-G321</f>
        <v>0.20000000000000018</v>
      </c>
      <c r="I321" s="2">
        <v>45518</v>
      </c>
      <c r="J321" s="1">
        <v>0.16522902753608038</v>
      </c>
      <c r="K321" s="1">
        <v>0.2</v>
      </c>
      <c r="L321" s="4">
        <f>J321-K321</f>
        <v>-3.4770972463919636E-2</v>
      </c>
      <c r="P321" s="4"/>
      <c r="T321" s="4"/>
      <c r="U321" s="2">
        <v>45538</v>
      </c>
      <c r="V321" s="1" t="s">
        <v>52</v>
      </c>
      <c r="W321" s="1" t="s">
        <v>52</v>
      </c>
      <c r="X321" s="1">
        <v>-0.3</v>
      </c>
      <c r="AA321" s="3"/>
      <c r="AB321" s="4"/>
      <c r="AC321" s="3"/>
      <c r="AE321" s="6"/>
      <c r="AF321" s="7"/>
      <c r="AG321" s="8">
        <v>45531</v>
      </c>
      <c r="AH321" s="6">
        <v>105.6</v>
      </c>
      <c r="AI321" s="1">
        <v>100.7</v>
      </c>
      <c r="AJ321" s="1">
        <f>AH321-AI321</f>
        <v>4.8999999999999915</v>
      </c>
      <c r="AK321" s="6"/>
      <c r="AN321" s="4"/>
      <c r="AO321" s="2">
        <v>45518</v>
      </c>
      <c r="AP321" s="5">
        <v>0.15492781999999999</v>
      </c>
      <c r="AQ321" s="1">
        <v>0.2</v>
      </c>
      <c r="AR321" s="4">
        <f>AP321-AQ321</f>
        <v>-4.5072180000000017E-2</v>
      </c>
      <c r="AS321" s="2">
        <v>45510</v>
      </c>
      <c r="AT321" s="5">
        <v>-73.108999999999995</v>
      </c>
      <c r="AU321" s="1">
        <v>-72.5</v>
      </c>
      <c r="AV321" s="4">
        <f>AT321-AU321</f>
        <v>-0.60899999999999466</v>
      </c>
      <c r="AW321" s="9">
        <v>45519</v>
      </c>
      <c r="AX321" s="4">
        <v>-0.63805294864094297</v>
      </c>
      <c r="AY321" s="6">
        <v>-0.3</v>
      </c>
      <c r="AZ321" s="4">
        <f>AX321-AY321</f>
        <v>-0.33805294864094299</v>
      </c>
    </row>
    <row r="322" spans="1:52" s="1" customFormat="1" x14ac:dyDescent="0.2">
      <c r="A322" s="2">
        <v>45541</v>
      </c>
      <c r="B322" s="1">
        <v>142</v>
      </c>
      <c r="D322" s="1">
        <v>-18</v>
      </c>
      <c r="E322" s="2">
        <v>45541</v>
      </c>
      <c r="F322" s="1">
        <v>4.2</v>
      </c>
      <c r="G322" s="1">
        <v>4.2</v>
      </c>
      <c r="H322" s="1">
        <f>F322-G322</f>
        <v>0</v>
      </c>
      <c r="I322" s="2">
        <v>45546</v>
      </c>
      <c r="J322" s="1">
        <v>0.28099049148246258</v>
      </c>
      <c r="K322" s="1">
        <v>0.2</v>
      </c>
      <c r="L322" s="4">
        <f>J322-K322</f>
        <v>8.0990491482462568E-2</v>
      </c>
      <c r="P322" s="4"/>
      <c r="T322" s="4"/>
      <c r="U322" s="2">
        <v>45566</v>
      </c>
      <c r="V322" s="1" t="s">
        <v>52</v>
      </c>
      <c r="W322" s="1" t="s">
        <v>52</v>
      </c>
      <c r="X322" s="1">
        <v>-0.3</v>
      </c>
      <c r="AA322" s="3"/>
      <c r="AB322" s="4"/>
      <c r="AC322" s="3"/>
      <c r="AE322" s="6"/>
      <c r="AF322" s="7"/>
      <c r="AG322" s="8">
        <v>45559</v>
      </c>
      <c r="AH322" s="6">
        <v>99.2</v>
      </c>
      <c r="AI322" s="1">
        <v>104</v>
      </c>
      <c r="AJ322" s="1">
        <f>AH322-AI322</f>
        <v>-4.7999999999999972</v>
      </c>
      <c r="AK322" s="6"/>
      <c r="AN322" s="4"/>
      <c r="AO322" s="2">
        <v>45546</v>
      </c>
      <c r="AP322" s="5">
        <v>0.18722052</v>
      </c>
      <c r="AQ322" s="1">
        <v>0.2</v>
      </c>
      <c r="AR322" s="4">
        <f>AP322-AQ322</f>
        <v>-1.277948000000001E-2</v>
      </c>
      <c r="AS322" s="2">
        <v>45539</v>
      </c>
      <c r="AT322" s="5">
        <v>-78.790999999999997</v>
      </c>
      <c r="AU322" s="1">
        <v>-79</v>
      </c>
      <c r="AV322" s="4">
        <f>AT322-AU322</f>
        <v>0.20900000000000318</v>
      </c>
      <c r="AW322" s="9">
        <v>45552</v>
      </c>
      <c r="AX322" s="4">
        <v>0.81432333259697998</v>
      </c>
      <c r="AY322" s="6">
        <v>0.2</v>
      </c>
      <c r="AZ322" s="4">
        <f>AX322-AY322</f>
        <v>0.61432333259697991</v>
      </c>
    </row>
    <row r="323" spans="1:52" s="1" customFormat="1" x14ac:dyDescent="0.2">
      <c r="A323" s="2">
        <v>45569</v>
      </c>
      <c r="B323" s="1">
        <v>254</v>
      </c>
      <c r="D323" s="1">
        <v>114</v>
      </c>
      <c r="E323" s="2">
        <v>45569</v>
      </c>
      <c r="F323" s="1">
        <v>4.0999999999999996</v>
      </c>
      <c r="G323" s="1">
        <v>4.2</v>
      </c>
      <c r="H323" s="1">
        <f>F323-G323</f>
        <v>-0.10000000000000053</v>
      </c>
      <c r="I323" s="2">
        <v>45575</v>
      </c>
      <c r="J323" s="1">
        <v>0.31241400015011628</v>
      </c>
      <c r="K323" s="1">
        <v>0.2</v>
      </c>
      <c r="L323" s="4">
        <f>J323-K323</f>
        <v>0.11241400015011627</v>
      </c>
      <c r="P323" s="4"/>
      <c r="T323" s="4"/>
      <c r="U323" s="2">
        <v>45597</v>
      </c>
      <c r="V323" s="1" t="s">
        <v>52</v>
      </c>
      <c r="W323" s="1" t="s">
        <v>52</v>
      </c>
      <c r="X323" s="1">
        <v>-1.1000000000000001</v>
      </c>
      <c r="AB323" s="4"/>
      <c r="AE323" s="6"/>
      <c r="AF323" s="7"/>
      <c r="AG323" s="8">
        <v>45594</v>
      </c>
      <c r="AH323" s="6">
        <v>109.6</v>
      </c>
      <c r="AI323" s="1">
        <v>99.5</v>
      </c>
      <c r="AJ323" s="1">
        <f>AH323-AI323</f>
        <v>10.099999999999994</v>
      </c>
      <c r="AK323" s="6"/>
      <c r="AN323" s="4"/>
      <c r="AO323" s="2">
        <v>45575</v>
      </c>
      <c r="AP323" s="5">
        <v>0.17986699</v>
      </c>
      <c r="AQ323" s="1">
        <v>0.1</v>
      </c>
      <c r="AR323" s="4">
        <f>AP323-AQ323</f>
        <v>7.9866989999999999E-2</v>
      </c>
      <c r="AS323" s="2">
        <v>45573</v>
      </c>
      <c r="AT323" s="5">
        <v>-70.430999999999997</v>
      </c>
      <c r="AU323" s="1">
        <v>-70.599999999999994</v>
      </c>
      <c r="AV323" s="4">
        <f>AT323-AU323</f>
        <v>0.16899999999999693</v>
      </c>
      <c r="AW323" s="9">
        <v>45582</v>
      </c>
      <c r="AX323" s="4">
        <v>-0.28280559471267203</v>
      </c>
      <c r="AY323" s="6">
        <v>-0.2</v>
      </c>
      <c r="AZ323" s="4">
        <f>AX323-AY323</f>
        <v>-8.2805594712672015E-2</v>
      </c>
    </row>
    <row r="324" spans="1:52" s="1" customFormat="1" x14ac:dyDescent="0.2">
      <c r="A324" s="2">
        <v>45597</v>
      </c>
      <c r="B324" s="1">
        <v>12</v>
      </c>
      <c r="D324" s="1">
        <v>-101</v>
      </c>
      <c r="E324" s="2">
        <v>45597</v>
      </c>
      <c r="F324" s="1">
        <v>4.0999999999999996</v>
      </c>
      <c r="G324" s="1">
        <v>4.0999999999999996</v>
      </c>
      <c r="H324" s="1">
        <f>F324-G324</f>
        <v>0</v>
      </c>
      <c r="I324" s="2">
        <v>45609</v>
      </c>
      <c r="J324" s="1">
        <v>0.28026573805908994</v>
      </c>
      <c r="K324" s="1">
        <v>0.3</v>
      </c>
      <c r="L324" s="4">
        <f>J324-K324</f>
        <v>-1.9734261940910047E-2</v>
      </c>
      <c r="P324" s="4"/>
      <c r="T324" s="4"/>
      <c r="U324" s="2">
        <v>45628</v>
      </c>
      <c r="V324" s="1" t="s">
        <v>52</v>
      </c>
      <c r="W324" s="1" t="s">
        <v>52</v>
      </c>
      <c r="X324" s="1">
        <v>0.9</v>
      </c>
      <c r="AB324" s="4"/>
      <c r="AF324" s="7"/>
      <c r="AG324" s="8">
        <v>45622</v>
      </c>
      <c r="AH324" s="6">
        <v>112.8</v>
      </c>
      <c r="AI324" s="1">
        <v>111.3</v>
      </c>
      <c r="AJ324" s="1">
        <f>AH324-AI324</f>
        <v>1.5</v>
      </c>
      <c r="AK324" s="6"/>
      <c r="AN324" s="4"/>
      <c r="AO324" s="2">
        <v>45609</v>
      </c>
      <c r="AP324" s="5">
        <v>0.24405279999999999</v>
      </c>
      <c r="AQ324" s="1">
        <v>0.2</v>
      </c>
      <c r="AR324" s="4">
        <f>AP324-AQ324</f>
        <v>4.4052799999999975E-2</v>
      </c>
      <c r="AS324" s="2">
        <v>45601</v>
      </c>
      <c r="AT324" s="5">
        <v>-84.358999999999995</v>
      </c>
      <c r="AU324" s="1">
        <v>-84.1</v>
      </c>
      <c r="AV324" s="4">
        <f>AT324-AU324</f>
        <v>-0.25900000000000034</v>
      </c>
      <c r="AW324" s="9">
        <v>45611</v>
      </c>
      <c r="AX324" s="4">
        <v>-0.26250686252616801</v>
      </c>
      <c r="AY324" s="6">
        <v>-0.3</v>
      </c>
      <c r="AZ324" s="4">
        <f>AX324-AY324</f>
        <v>3.7493137473831983E-2</v>
      </c>
    </row>
    <row r="325" spans="1:52" s="1" customFormat="1" x14ac:dyDescent="0.2">
      <c r="A325" s="2">
        <v>45632</v>
      </c>
      <c r="B325" s="1">
        <v>227</v>
      </c>
      <c r="D325" s="1">
        <v>27</v>
      </c>
      <c r="E325" s="2">
        <v>45632</v>
      </c>
      <c r="F325" s="1">
        <v>4.2</v>
      </c>
      <c r="G325" s="1">
        <v>4.2</v>
      </c>
      <c r="H325" s="1">
        <f>F325-G325</f>
        <v>0</v>
      </c>
      <c r="I325" s="2">
        <v>45637</v>
      </c>
      <c r="J325" s="1">
        <v>0.30808354006950855</v>
      </c>
      <c r="K325" s="1">
        <v>0.3</v>
      </c>
      <c r="L325" s="4">
        <f>J325-K325</f>
        <v>8.0835400695085657E-3</v>
      </c>
      <c r="P325" s="4"/>
      <c r="T325" s="4"/>
      <c r="U325" s="2">
        <v>45660</v>
      </c>
      <c r="V325" s="1" t="s">
        <v>52</v>
      </c>
      <c r="W325" s="1" t="s">
        <v>52</v>
      </c>
      <c r="X325" s="1">
        <v>0.9</v>
      </c>
      <c r="AB325" s="4"/>
      <c r="AF325" s="7"/>
      <c r="AG325" s="8">
        <v>45649</v>
      </c>
      <c r="AH325" s="6">
        <v>109.5</v>
      </c>
      <c r="AI325" s="1">
        <v>113.3</v>
      </c>
      <c r="AJ325" s="1">
        <f>AH325-AI325</f>
        <v>-3.7999999999999972</v>
      </c>
      <c r="AK325" s="6"/>
      <c r="AN325" s="4"/>
      <c r="AO325" s="2">
        <v>45637</v>
      </c>
      <c r="AP325" s="5">
        <v>0.31288239000000001</v>
      </c>
      <c r="AQ325" s="1">
        <v>0.3</v>
      </c>
      <c r="AR325" s="4">
        <f>AP325-AQ325</f>
        <v>1.2882390000000021E-2</v>
      </c>
      <c r="AS325" s="2">
        <v>45631</v>
      </c>
      <c r="AT325" s="5">
        <v>-73.835999999999999</v>
      </c>
      <c r="AU325" s="1">
        <v>-75</v>
      </c>
      <c r="AV325" s="4">
        <f>AT325-AU325</f>
        <v>1.1640000000000015</v>
      </c>
      <c r="AW325" s="9">
        <v>45643</v>
      </c>
      <c r="AX325" s="4">
        <v>-0.147092955500951</v>
      </c>
      <c r="AY325" s="6">
        <v>0.3</v>
      </c>
      <c r="AZ325" s="4">
        <f>AX325-AY325</f>
        <v>-0.44709295550095096</v>
      </c>
    </row>
    <row r="326" spans="1:52" s="1" customFormat="1" x14ac:dyDescent="0.2">
      <c r="A326" s="2">
        <v>45667</v>
      </c>
      <c r="B326" s="1">
        <v>256</v>
      </c>
      <c r="D326" s="1">
        <v>96</v>
      </c>
      <c r="E326" s="2">
        <v>45667</v>
      </c>
      <c r="F326" s="1">
        <v>4.0999999999999996</v>
      </c>
      <c r="G326" s="1">
        <v>4.2</v>
      </c>
      <c r="H326" s="1">
        <f>F326-G326</f>
        <v>-0.10000000000000053</v>
      </c>
      <c r="I326" s="2">
        <v>45672</v>
      </c>
      <c r="J326" s="1">
        <v>0.22500674090442765</v>
      </c>
      <c r="K326" s="1">
        <v>0.2</v>
      </c>
      <c r="L326" s="4">
        <f>J326-K326</f>
        <v>2.5006740904427643E-2</v>
      </c>
      <c r="P326" s="4"/>
      <c r="T326" s="4"/>
      <c r="U326" s="2">
        <v>45691</v>
      </c>
      <c r="V326" s="1" t="s">
        <v>52</v>
      </c>
      <c r="W326" s="1" t="s">
        <v>52</v>
      </c>
      <c r="X326" s="1">
        <v>1.1000000000000001</v>
      </c>
      <c r="AB326" s="4"/>
      <c r="AF326" s="7"/>
      <c r="AG326" s="8">
        <v>45685</v>
      </c>
      <c r="AH326" s="6">
        <v>105.3</v>
      </c>
      <c r="AI326" s="1">
        <v>105.6</v>
      </c>
      <c r="AJ326" s="1">
        <f>AH326-AI326</f>
        <v>-0.29999999999999716</v>
      </c>
      <c r="AK326" s="6"/>
      <c r="AN326" s="4"/>
      <c r="AO326" s="2">
        <v>45672</v>
      </c>
      <c r="AP326" s="5">
        <v>0.39312226</v>
      </c>
      <c r="AQ326" s="1">
        <v>0.3</v>
      </c>
      <c r="AR326" s="4">
        <f>AP326-AQ326</f>
        <v>9.3122260000000012E-2</v>
      </c>
      <c r="AS326" s="2">
        <v>45664</v>
      </c>
      <c r="AT326" s="5">
        <v>-78.192999999999998</v>
      </c>
      <c r="AU326" s="1">
        <v>-78</v>
      </c>
      <c r="AV326" s="4">
        <f>AT326-AU326</f>
        <v>-0.19299999999999784</v>
      </c>
      <c r="AW326" s="9">
        <v>45674</v>
      </c>
      <c r="AX326" s="4">
        <v>0.91858678655007098</v>
      </c>
      <c r="AY326" s="6">
        <v>0.3</v>
      </c>
      <c r="AZ326" s="4">
        <f>AX326-AY326</f>
        <v>0.61858678655007093</v>
      </c>
    </row>
    <row r="327" spans="1:52" s="1" customFormat="1" x14ac:dyDescent="0.2">
      <c r="A327" s="2">
        <v>45695</v>
      </c>
      <c r="B327" s="1">
        <v>143</v>
      </c>
      <c r="D327" s="1">
        <v>-27</v>
      </c>
      <c r="E327" s="2">
        <v>45695</v>
      </c>
      <c r="F327" s="1">
        <v>4</v>
      </c>
      <c r="G327" s="1">
        <v>4.0999999999999996</v>
      </c>
      <c r="H327" s="1">
        <f>F327-G327</f>
        <v>-9.9999999999999645E-2</v>
      </c>
      <c r="I327" s="2">
        <v>45700</v>
      </c>
      <c r="J327" s="1">
        <v>0.41931703274445303</v>
      </c>
      <c r="K327" s="1">
        <v>0.3</v>
      </c>
      <c r="L327" s="4">
        <f>J327-K327</f>
        <v>0.11931703274445304</v>
      </c>
      <c r="P327" s="4"/>
      <c r="T327" s="4"/>
      <c r="U327" s="2">
        <v>45719</v>
      </c>
      <c r="V327" s="1" t="s">
        <v>52</v>
      </c>
      <c r="W327" s="1" t="s">
        <v>52</v>
      </c>
      <c r="X327" s="1">
        <v>-0.5</v>
      </c>
      <c r="AB327" s="4"/>
      <c r="AF327" s="7"/>
      <c r="AG327" s="8">
        <v>45713</v>
      </c>
      <c r="AH327" s="6">
        <v>100.1</v>
      </c>
      <c r="AI327" s="1">
        <v>102.5</v>
      </c>
      <c r="AJ327" s="1">
        <f>AH327-AI327</f>
        <v>-2.4000000000000057</v>
      </c>
      <c r="AK327" s="6"/>
      <c r="AN327" s="4"/>
      <c r="AO327" s="2">
        <v>45700</v>
      </c>
      <c r="AP327" s="5">
        <v>0.46693514000000003</v>
      </c>
      <c r="AQ327" s="1">
        <v>0.3</v>
      </c>
      <c r="AR327" s="4">
        <f>AP327-AQ327</f>
        <v>0.16693514000000004</v>
      </c>
      <c r="AS327" s="2">
        <v>45693</v>
      </c>
      <c r="AT327" s="5">
        <v>-98.430999999999997</v>
      </c>
      <c r="AU327" s="1">
        <v>-96.6</v>
      </c>
      <c r="AV327" s="4">
        <f>AT327-AU327</f>
        <v>-1.8310000000000031</v>
      </c>
      <c r="AW327" s="9">
        <v>45702</v>
      </c>
      <c r="AX327" s="4">
        <v>0.51241317767054995</v>
      </c>
      <c r="AY327" s="6">
        <v>0.3</v>
      </c>
      <c r="AZ327" s="4">
        <f>AX327-AY327</f>
        <v>0.21241317767054996</v>
      </c>
    </row>
    <row r="328" spans="1:52" s="1" customFormat="1" x14ac:dyDescent="0.2">
      <c r="A328" s="2">
        <v>45723</v>
      </c>
      <c r="B328" s="1">
        <v>151</v>
      </c>
      <c r="D328" s="1">
        <v>-9</v>
      </c>
      <c r="E328" s="2">
        <v>45723</v>
      </c>
      <c r="F328" s="1">
        <v>4.0999999999999996</v>
      </c>
      <c r="G328" s="1">
        <v>4</v>
      </c>
      <c r="H328" s="1">
        <f>F328-G328</f>
        <v>9.9999999999999645E-2</v>
      </c>
      <c r="I328" s="2">
        <v>45728</v>
      </c>
      <c r="J328" s="1">
        <v>0.22664355066685768</v>
      </c>
      <c r="K328" s="1">
        <v>0.3</v>
      </c>
      <c r="L328" s="4">
        <f>J328-K328</f>
        <v>-7.335644933314231E-2</v>
      </c>
      <c r="P328" s="4"/>
      <c r="T328" s="4"/>
      <c r="U328" s="2">
        <v>45748</v>
      </c>
      <c r="V328" s="1" t="s">
        <v>52</v>
      </c>
      <c r="W328" s="1" t="s">
        <v>52</v>
      </c>
      <c r="X328" s="1">
        <v>-0.5</v>
      </c>
      <c r="AB328" s="4"/>
      <c r="AF328" s="7"/>
      <c r="AG328" s="8">
        <v>45741</v>
      </c>
      <c r="AH328" s="6">
        <v>93.9</v>
      </c>
      <c r="AI328" s="1">
        <v>94</v>
      </c>
      <c r="AJ328" s="1">
        <f>AH328-AI328</f>
        <v>-9.9999999999994316E-2</v>
      </c>
      <c r="AK328" s="6"/>
      <c r="AN328" s="4"/>
      <c r="AO328" s="2">
        <v>45728</v>
      </c>
      <c r="AP328" s="5">
        <v>0.21592924999999999</v>
      </c>
      <c r="AQ328" s="1">
        <v>0.3</v>
      </c>
      <c r="AR328" s="4">
        <f>AP328-AQ328</f>
        <v>-8.407075E-2</v>
      </c>
      <c r="AS328" s="2">
        <v>45722</v>
      </c>
      <c r="AT328" s="5">
        <v>-131.38200000000001</v>
      </c>
      <c r="AU328" s="1">
        <v>-127.4</v>
      </c>
      <c r="AV328" s="4">
        <f>AT328-AU328</f>
        <v>-3.9819999999999993</v>
      </c>
      <c r="AW328" s="9">
        <v>45734</v>
      </c>
      <c r="AX328" s="4">
        <v>0.74558901725720805</v>
      </c>
      <c r="AY328" s="6">
        <v>0.2</v>
      </c>
      <c r="AZ328" s="4">
        <f>AX328-AY328</f>
        <v>0.54558901725720799</v>
      </c>
    </row>
    <row r="329" spans="1:52" s="1" customFormat="1" x14ac:dyDescent="0.2">
      <c r="A329" s="2">
        <v>45751</v>
      </c>
      <c r="B329" s="1">
        <v>228</v>
      </c>
      <c r="D329" s="1">
        <v>93</v>
      </c>
      <c r="E329" s="2">
        <v>45751</v>
      </c>
      <c r="F329" s="1">
        <v>4.2</v>
      </c>
      <c r="G329" s="1">
        <v>4.0999999999999996</v>
      </c>
      <c r="H329" s="1">
        <f>F329-G329</f>
        <v>0.10000000000000053</v>
      </c>
      <c r="I329" s="2">
        <v>45757</v>
      </c>
      <c r="J329" s="1">
        <v>5.6532759812572109E-2</v>
      </c>
      <c r="K329" s="1">
        <v>0.3</v>
      </c>
      <c r="L329" s="4">
        <f>J329-K329</f>
        <v>-0.24346724018742788</v>
      </c>
      <c r="P329" s="4"/>
      <c r="T329" s="4"/>
      <c r="U329" s="2">
        <v>45778</v>
      </c>
      <c r="V329" s="1" t="s">
        <v>52</v>
      </c>
      <c r="W329" s="1" t="s">
        <v>52</v>
      </c>
      <c r="X329" s="1">
        <v>0.7</v>
      </c>
      <c r="AB329" s="4"/>
      <c r="AF329" s="7"/>
      <c r="AG329" s="8">
        <v>45776</v>
      </c>
      <c r="AH329" s="6">
        <v>85.7</v>
      </c>
      <c r="AI329" s="1">
        <v>87.5</v>
      </c>
      <c r="AJ329" s="1">
        <f>AH329-AI329</f>
        <v>-1.7999999999999972</v>
      </c>
      <c r="AK329" s="6"/>
      <c r="AN329" s="4"/>
      <c r="AO329" s="2">
        <v>45757</v>
      </c>
      <c r="AP329" s="5">
        <v>-5.0035200000000002E-2</v>
      </c>
      <c r="AQ329" s="1">
        <v>0.1</v>
      </c>
      <c r="AR329" s="4">
        <f>AP329-AQ329</f>
        <v>-0.15003520000000001</v>
      </c>
      <c r="AS329" s="2">
        <v>45750</v>
      </c>
      <c r="AT329" s="5">
        <v>-122.66200000000001</v>
      </c>
      <c r="AU329" s="1">
        <v>-123.5</v>
      </c>
      <c r="AV329" s="4">
        <f>AT329-AU329</f>
        <v>0.83799999999999386</v>
      </c>
      <c r="AW329" s="9">
        <v>45763</v>
      </c>
      <c r="AX329" s="4">
        <v>-0.31759678066248398</v>
      </c>
      <c r="AY329" s="6">
        <v>-0.2</v>
      </c>
      <c r="AZ329" s="4">
        <f>AX329-AY329</f>
        <v>-0.11759678066248397</v>
      </c>
    </row>
    <row r="330" spans="1:52" s="1" customFormat="1" x14ac:dyDescent="0.2">
      <c r="A330" s="2">
        <v>45779</v>
      </c>
      <c r="B330" s="1">
        <v>177</v>
      </c>
      <c r="D330" s="1">
        <v>47</v>
      </c>
      <c r="E330" s="2">
        <v>45779</v>
      </c>
      <c r="F330" s="1">
        <v>4.2</v>
      </c>
      <c r="G330" s="1">
        <v>4.2</v>
      </c>
      <c r="H330" s="1">
        <f>F330-G330</f>
        <v>0</v>
      </c>
      <c r="I330" s="2">
        <v>45790</v>
      </c>
      <c r="J330" s="1">
        <v>0.236750711633953</v>
      </c>
      <c r="K330" s="1">
        <v>0.3</v>
      </c>
      <c r="L330" s="4">
        <f>J330-K330</f>
        <v>-6.3249288366046985E-2</v>
      </c>
      <c r="P330" s="4"/>
      <c r="T330" s="4"/>
      <c r="U330" s="2">
        <v>45810</v>
      </c>
      <c r="V330" s="1" t="s">
        <v>52</v>
      </c>
      <c r="W330" s="1" t="s">
        <v>52</v>
      </c>
      <c r="X330" s="1">
        <v>-1</v>
      </c>
      <c r="AB330" s="4"/>
      <c r="AF330" s="7"/>
      <c r="AG330" s="8">
        <v>45804</v>
      </c>
      <c r="AH330" s="6">
        <v>98.4</v>
      </c>
      <c r="AI330" s="1">
        <v>87</v>
      </c>
      <c r="AJ330" s="1">
        <f>AH330-AI330</f>
        <v>11.400000000000006</v>
      </c>
      <c r="AK330" s="6"/>
      <c r="AN330" s="4"/>
      <c r="AO330" s="2">
        <v>45790</v>
      </c>
      <c r="AP330" s="5">
        <v>0.22089075999999999</v>
      </c>
      <c r="AQ330" s="1">
        <v>0.3</v>
      </c>
      <c r="AR330" s="4">
        <f>AP330-AQ330</f>
        <v>-7.9109239999999997E-2</v>
      </c>
      <c r="AS330" s="2">
        <v>45783</v>
      </c>
      <c r="AT330" s="5">
        <v>-140.49799999999999</v>
      </c>
      <c r="AU330" s="1">
        <v>-137</v>
      </c>
      <c r="AV330" s="4">
        <f>AT330-AU330</f>
        <v>-3.4979999999999905</v>
      </c>
      <c r="AW330" s="9">
        <v>45792</v>
      </c>
      <c r="AX330" s="4">
        <v>-6.3530872634959502E-3</v>
      </c>
      <c r="AY330" s="6">
        <v>0.2</v>
      </c>
      <c r="AZ330" s="4">
        <f>AX330-AY330</f>
        <v>-0.20635308726349597</v>
      </c>
    </row>
    <row r="331" spans="1:52" s="1" customFormat="1" x14ac:dyDescent="0.2">
      <c r="A331" s="2">
        <v>45814</v>
      </c>
      <c r="B331" s="1">
        <v>139</v>
      </c>
      <c r="D331" s="1">
        <v>9</v>
      </c>
      <c r="E331" s="2">
        <v>45814</v>
      </c>
      <c r="F331" s="1">
        <v>4.2</v>
      </c>
      <c r="G331" s="1">
        <v>4.2</v>
      </c>
      <c r="H331" s="1">
        <f>F331-G331</f>
        <v>0</v>
      </c>
      <c r="I331" s="2">
        <v>45819</v>
      </c>
      <c r="J331" s="1">
        <v>0.12989002236313396</v>
      </c>
      <c r="K331" s="1">
        <v>0.3</v>
      </c>
      <c r="L331" s="4">
        <f>J331-K331</f>
        <v>-0.17010997763686603</v>
      </c>
      <c r="P331" s="4"/>
      <c r="T331" s="4"/>
      <c r="U331" s="2">
        <v>45839</v>
      </c>
      <c r="V331" s="1" t="s">
        <v>52</v>
      </c>
      <c r="W331" s="1" t="s">
        <v>52</v>
      </c>
      <c r="X331" s="1">
        <v>0.2</v>
      </c>
      <c r="AB331" s="4"/>
      <c r="AF331" s="7"/>
      <c r="AG331" s="8">
        <v>45832</v>
      </c>
      <c r="AH331" s="6">
        <v>95.2</v>
      </c>
      <c r="AI331" s="1">
        <v>100</v>
      </c>
      <c r="AJ331" s="1">
        <f>AH331-AI331</f>
        <v>-4.7999999999999972</v>
      </c>
      <c r="AK331" s="6"/>
      <c r="AN331" s="4"/>
      <c r="AO331" s="2">
        <v>45819</v>
      </c>
      <c r="AP331" s="5">
        <v>8.085639E-2</v>
      </c>
      <c r="AQ331" s="1">
        <v>0.2</v>
      </c>
      <c r="AR331" s="4">
        <f>AP331-AQ331</f>
        <v>-0.11914361000000001</v>
      </c>
      <c r="AS331" s="2">
        <v>45813</v>
      </c>
      <c r="AT331" s="5">
        <v>-61.616999999999997</v>
      </c>
      <c r="AU331" s="1">
        <v>-70</v>
      </c>
      <c r="AV331" s="4">
        <f>AT331-AU331</f>
        <v>8.3830000000000027</v>
      </c>
      <c r="AW331" s="9">
        <v>45825</v>
      </c>
      <c r="AX331" s="4">
        <v>-0.21845165167941599</v>
      </c>
      <c r="AY331" s="6">
        <v>0.1</v>
      </c>
      <c r="AZ331" s="4">
        <f>AX331-AY331</f>
        <v>-0.31845165167941603</v>
      </c>
    </row>
    <row r="332" spans="1:52" s="1" customFormat="1" x14ac:dyDescent="0.2">
      <c r="A332" s="2">
        <v>45841</v>
      </c>
      <c r="B332" s="1">
        <v>147</v>
      </c>
      <c r="D332" s="1">
        <v>37</v>
      </c>
      <c r="E332" s="2">
        <v>45841</v>
      </c>
      <c r="F332" s="1">
        <v>4.0999999999999996</v>
      </c>
      <c r="G332" s="1">
        <v>4.3</v>
      </c>
      <c r="H332" s="1">
        <f>F332-G332</f>
        <v>-0.20000000000000018</v>
      </c>
      <c r="I332" s="2">
        <v>45853</v>
      </c>
      <c r="J332" s="1">
        <v>0.22823646031562647</v>
      </c>
      <c r="K332" s="1">
        <v>0.3</v>
      </c>
      <c r="L332" s="4">
        <f>J332-K332</f>
        <v>-7.1763539684373517E-2</v>
      </c>
      <c r="P332" s="4"/>
      <c r="T332" s="4"/>
      <c r="U332" s="2">
        <v>45870</v>
      </c>
      <c r="V332" s="1" t="s">
        <v>52</v>
      </c>
      <c r="W332" s="1" t="s">
        <v>52</v>
      </c>
      <c r="X332" s="1">
        <v>-1.5</v>
      </c>
      <c r="AB332" s="4"/>
      <c r="AF332" s="7"/>
      <c r="AG332" s="8">
        <v>45867</v>
      </c>
      <c r="AH332" s="6">
        <v>98.7</v>
      </c>
      <c r="AI332" s="1">
        <v>95</v>
      </c>
      <c r="AJ332" s="1">
        <f>AH332-AI332</f>
        <v>3.7000000000000028</v>
      </c>
      <c r="AK332" s="6"/>
      <c r="AN332" s="4"/>
      <c r="AO332" s="2">
        <v>45853</v>
      </c>
      <c r="AP332" s="5">
        <v>0.28697984999999998</v>
      </c>
      <c r="AQ332" s="1">
        <v>0.3</v>
      </c>
      <c r="AR332" s="4">
        <f>AP332-AQ332</f>
        <v>-1.3020150000000008E-2</v>
      </c>
      <c r="AS332" s="2">
        <v>45841</v>
      </c>
      <c r="AT332" s="5">
        <v>-71.516999999999996</v>
      </c>
      <c r="AU332" s="1">
        <v>-71</v>
      </c>
      <c r="AV332" s="4">
        <f>AT332-AU332</f>
        <v>-0.51699999999999591</v>
      </c>
      <c r="AW332" s="9">
        <v>45854</v>
      </c>
      <c r="AX332" s="4">
        <v>0.33465110042233198</v>
      </c>
      <c r="AY332" s="6">
        <v>0.1</v>
      </c>
      <c r="AZ332" s="4">
        <f>AX332-AY332</f>
        <v>0.23465110042233198</v>
      </c>
    </row>
    <row r="333" spans="1:52" s="1" customFormat="1" x14ac:dyDescent="0.2">
      <c r="A333" s="2">
        <v>45870</v>
      </c>
      <c r="B333" s="1">
        <v>73</v>
      </c>
      <c r="D333" s="1">
        <v>-37</v>
      </c>
      <c r="E333" s="2">
        <v>45870</v>
      </c>
      <c r="F333" s="1">
        <v>4.2</v>
      </c>
      <c r="G333" s="1">
        <v>4.2</v>
      </c>
      <c r="H333" s="1">
        <f>F333-G333</f>
        <v>0</v>
      </c>
      <c r="I333" s="2">
        <v>45881</v>
      </c>
      <c r="J333" s="1">
        <v>0.3223443223443172</v>
      </c>
      <c r="K333" s="1">
        <v>0.3</v>
      </c>
      <c r="L333" s="4">
        <f>J333-K333</f>
        <v>2.2344322344317213E-2</v>
      </c>
      <c r="P333" s="4"/>
      <c r="T333" s="4"/>
      <c r="U333" s="2">
        <v>45902</v>
      </c>
      <c r="V333" s="1" t="s">
        <v>52</v>
      </c>
      <c r="W333" s="1" t="s">
        <v>52</v>
      </c>
      <c r="X333" s="1">
        <v>-0.3</v>
      </c>
      <c r="AB333" s="4"/>
      <c r="AF333" s="7"/>
      <c r="AG333" s="8">
        <v>45895</v>
      </c>
      <c r="AH333" s="6">
        <v>97.8</v>
      </c>
      <c r="AI333" s="1">
        <v>96.2</v>
      </c>
      <c r="AJ333" s="1">
        <f>AH333-AI333</f>
        <v>1.5999999999999943</v>
      </c>
      <c r="AK333" s="6"/>
      <c r="AN333" s="4"/>
      <c r="AO333" s="2">
        <v>45881</v>
      </c>
      <c r="AP333" s="5">
        <v>0.19657854</v>
      </c>
      <c r="AQ333" s="1">
        <v>0.2</v>
      </c>
      <c r="AR333" s="4">
        <f>AP333-AQ333</f>
        <v>-3.421460000000015E-3</v>
      </c>
      <c r="AS333" s="2">
        <v>45874</v>
      </c>
      <c r="AT333" s="5">
        <v>-60.177</v>
      </c>
      <c r="AU333" s="1">
        <v>-61.3</v>
      </c>
      <c r="AV333" s="4">
        <f>AT333-AU333</f>
        <v>1.1229999999999976</v>
      </c>
      <c r="AW333" s="9">
        <v>45884</v>
      </c>
      <c r="AX333" s="4">
        <v>-0.121982025420281</v>
      </c>
      <c r="AY333" s="6">
        <v>0</v>
      </c>
      <c r="AZ333" s="4">
        <f>AX333-AY333</f>
        <v>-0.121982025420281</v>
      </c>
    </row>
    <row r="334" spans="1:52" s="1" customFormat="1" x14ac:dyDescent="0.2">
      <c r="A334" s="2">
        <v>45905</v>
      </c>
      <c r="B334" s="1">
        <v>22</v>
      </c>
      <c r="D334" s="1">
        <v>-53</v>
      </c>
      <c r="E334" s="2">
        <v>45905</v>
      </c>
      <c r="F334" s="1">
        <v>4.3</v>
      </c>
      <c r="G334" s="1">
        <v>4.3</v>
      </c>
      <c r="H334" s="1">
        <f>F334-G334</f>
        <v>0</v>
      </c>
      <c r="I334" s="2">
        <v>45911</v>
      </c>
      <c r="J334" s="1">
        <v>0.34595443259821834</v>
      </c>
      <c r="K334" s="1">
        <v>0.3</v>
      </c>
      <c r="L334" s="4">
        <f>J334-K334</f>
        <v>4.5954432598218353E-2</v>
      </c>
      <c r="P334" s="4"/>
      <c r="T334" s="4"/>
      <c r="U334" s="2">
        <v>45931</v>
      </c>
      <c r="V334" s="1" t="s">
        <v>52</v>
      </c>
      <c r="W334" s="1" t="s">
        <v>52</v>
      </c>
      <c r="X334" s="1">
        <v>0.1</v>
      </c>
      <c r="AB334" s="4"/>
      <c r="AF334" s="7"/>
      <c r="AG334" s="8">
        <v>45930</v>
      </c>
      <c r="AH334" s="6">
        <v>95.6</v>
      </c>
      <c r="AI334" s="1">
        <v>96</v>
      </c>
      <c r="AJ334" s="1">
        <f>AH334-AI334</f>
        <v>-0.40000000000000568</v>
      </c>
      <c r="AK334" s="6"/>
      <c r="AN334" s="4"/>
      <c r="AO334" s="2">
        <v>45911</v>
      </c>
      <c r="AP334" s="5">
        <v>0.38245191000000001</v>
      </c>
      <c r="AQ334" s="1">
        <v>0.3</v>
      </c>
      <c r="AR334" s="4">
        <f>AP334-AQ334</f>
        <v>8.2451910000000017E-2</v>
      </c>
      <c r="AS334" s="2">
        <v>45904</v>
      </c>
      <c r="AT334" s="5">
        <v>-78.311000000000007</v>
      </c>
      <c r="AU334" s="1">
        <v>-75.7</v>
      </c>
      <c r="AV334" s="4">
        <f>AT334-AU334</f>
        <v>-2.6110000000000042</v>
      </c>
      <c r="AW334" s="9">
        <v>45916</v>
      </c>
      <c r="AX334" s="4">
        <v>9.7188001471782498E-2</v>
      </c>
      <c r="AY334" s="6">
        <v>-0.1</v>
      </c>
      <c r="AZ334" s="4">
        <f>AX334-AY334</f>
        <v>0.1971880014717825</v>
      </c>
    </row>
    <row r="335" spans="1:52" s="1" customFormat="1" x14ac:dyDescent="0.2">
      <c r="A335" s="2">
        <v>45981</v>
      </c>
      <c r="B335" s="1">
        <v>119</v>
      </c>
      <c r="D335" s="1">
        <v>69</v>
      </c>
      <c r="E335" s="2">
        <v>45981</v>
      </c>
      <c r="F335" s="1">
        <v>4.4000000000000004</v>
      </c>
      <c r="G335" s="1">
        <v>4.3</v>
      </c>
      <c r="H335" s="1">
        <f>F335-G335</f>
        <v>0.10000000000000053</v>
      </c>
      <c r="I335" s="2">
        <v>45954</v>
      </c>
      <c r="J335" s="1">
        <v>0.22711215823257824</v>
      </c>
      <c r="K335" s="1">
        <v>0.3</v>
      </c>
      <c r="L335" s="4">
        <f>J335-K335</f>
        <v>-7.2887841767421746E-2</v>
      </c>
      <c r="P335" s="4"/>
      <c r="T335" s="4"/>
      <c r="U335" s="2">
        <v>45964</v>
      </c>
      <c r="V335" s="1" t="s">
        <v>52</v>
      </c>
      <c r="W335" s="1" t="s">
        <v>52</v>
      </c>
      <c r="X335" s="1">
        <v>-0.8</v>
      </c>
      <c r="AB335" s="4"/>
      <c r="AF335" s="7"/>
      <c r="AG335" s="8">
        <v>45958</v>
      </c>
      <c r="AH335" s="6">
        <v>95.5</v>
      </c>
      <c r="AI335" s="1">
        <v>93.2</v>
      </c>
      <c r="AJ335" s="1">
        <f>AH335-AI335</f>
        <v>2.2999999999999972</v>
      </c>
      <c r="AK335" s="6"/>
      <c r="AN335" s="4"/>
      <c r="AO335" s="2">
        <v>45954</v>
      </c>
      <c r="AP335" s="5">
        <v>0.31048601999999997</v>
      </c>
      <c r="AQ335" s="1">
        <v>0.4</v>
      </c>
      <c r="AR335" s="4">
        <f>AP335-AQ335</f>
        <v>-8.9513980000000049E-2</v>
      </c>
      <c r="AS335" s="2">
        <v>45980</v>
      </c>
      <c r="AT335" s="5">
        <v>-59.55</v>
      </c>
      <c r="AU335" s="1">
        <v>-61</v>
      </c>
      <c r="AV335" s="4">
        <f>AT335-AU335</f>
        <v>1.4500000000000028</v>
      </c>
      <c r="AW335" s="9">
        <v>45994</v>
      </c>
      <c r="AX335" s="4">
        <v>9.6615020230924303E-2</v>
      </c>
      <c r="AY335" s="6">
        <v>0</v>
      </c>
      <c r="AZ335" s="4">
        <f>AX335-AY335</f>
        <v>9.6615020230924303E-2</v>
      </c>
    </row>
    <row r="336" spans="1:52" s="1" customFormat="1" x14ac:dyDescent="0.2">
      <c r="A336" s="2">
        <v>46007</v>
      </c>
      <c r="B336" s="1">
        <v>-105</v>
      </c>
      <c r="D336" s="1">
        <v>-90</v>
      </c>
      <c r="G336" s="1">
        <v>4.4000000000000004</v>
      </c>
      <c r="H336" s="1">
        <f>F336-G336</f>
        <v>-4.4000000000000004</v>
      </c>
      <c r="J336" s="1">
        <v>-100</v>
      </c>
      <c r="K336" s="1">
        <v>0.3</v>
      </c>
      <c r="L336" s="4">
        <f>J336-K336</f>
        <v>-100.3</v>
      </c>
      <c r="M336" s="3"/>
      <c r="P336" s="4"/>
      <c r="T336" s="4"/>
      <c r="U336" s="2">
        <v>45992</v>
      </c>
      <c r="V336" s="1" t="s">
        <v>52</v>
      </c>
      <c r="W336" s="1" t="s">
        <v>52</v>
      </c>
      <c r="X336" s="3" t="s">
        <v>52</v>
      </c>
      <c r="AB336" s="4"/>
      <c r="AF336" s="7"/>
      <c r="AG336" s="8">
        <v>45986</v>
      </c>
      <c r="AH336" s="6">
        <v>92.9</v>
      </c>
      <c r="AI336" s="1">
        <v>93.5</v>
      </c>
      <c r="AJ336" s="1">
        <f>AH336-AI336</f>
        <v>-0.59999999999999432</v>
      </c>
      <c r="AK336" s="6"/>
      <c r="AN336" s="4"/>
      <c r="AR336" s="4"/>
      <c r="AS336" s="2">
        <v>46002</v>
      </c>
      <c r="AT336" s="5">
        <v>-52.828000000000003</v>
      </c>
      <c r="AU336" s="1">
        <v>-65.5</v>
      </c>
      <c r="AV336" s="4">
        <f>AT336-AU336</f>
        <v>12.671999999999997</v>
      </c>
      <c r="AW336" s="9">
        <v>46014</v>
      </c>
      <c r="AX336" s="4">
        <v>-5.59637818927156E-2</v>
      </c>
      <c r="AY336" s="6">
        <v>0.1</v>
      </c>
      <c r="AZ336" s="4">
        <f>AX336-AY336</f>
        <v>-0.15596378189271559</v>
      </c>
    </row>
    <row r="337" spans="1:53" s="1" customFormat="1" x14ac:dyDescent="0.2">
      <c r="A337" s="2">
        <v>46007</v>
      </c>
      <c r="B337" s="1">
        <v>64</v>
      </c>
      <c r="D337" s="1">
        <v>14</v>
      </c>
      <c r="G337" s="1">
        <v>4.4000000000000004</v>
      </c>
      <c r="H337" s="1">
        <f>F337-G337</f>
        <v>-4.4000000000000004</v>
      </c>
      <c r="J337" s="1" t="e">
        <v>#DIV/0!</v>
      </c>
      <c r="K337" s="1">
        <v>0.3</v>
      </c>
      <c r="L337" s="4" t="e">
        <f>J337-K337</f>
        <v>#DIV/0!</v>
      </c>
      <c r="M337" s="3"/>
      <c r="P337" s="4"/>
      <c r="T337" s="4"/>
      <c r="U337" s="2">
        <v>46027</v>
      </c>
      <c r="V337" s="1" t="s">
        <v>52</v>
      </c>
      <c r="W337" s="1" t="s">
        <v>52</v>
      </c>
      <c r="X337" s="1">
        <v>-0.5</v>
      </c>
      <c r="AB337" s="4"/>
      <c r="AF337" s="7"/>
      <c r="AG337" s="8">
        <v>46014</v>
      </c>
      <c r="AH337" s="6">
        <v>94.2</v>
      </c>
      <c r="AI337" s="1">
        <v>91</v>
      </c>
      <c r="AJ337" s="1">
        <f>AH337-AI337</f>
        <v>3.2000000000000028</v>
      </c>
      <c r="AK337" s="6"/>
      <c r="AN337" s="4"/>
      <c r="AR337" s="4"/>
      <c r="AS337" s="2">
        <v>46014</v>
      </c>
      <c r="AT337" s="1">
        <v>1.7467721618642202E-4</v>
      </c>
      <c r="AU337" s="1">
        <v>-58.9</v>
      </c>
      <c r="AV337" s="4">
        <f>AT337-AU337</f>
        <v>58.900174677216185</v>
      </c>
      <c r="AW337" s="9">
        <v>46014</v>
      </c>
      <c r="AX337" s="4">
        <v>0.17467721618642201</v>
      </c>
      <c r="AY337" s="6">
        <v>0.1</v>
      </c>
      <c r="AZ337" s="4">
        <f>AX337-AY337</f>
        <v>7.4677216186422007E-2</v>
      </c>
    </row>
    <row r="338" spans="1:53" s="1" customFormat="1" x14ac:dyDescent="0.2">
      <c r="G338" s="1">
        <v>4.5</v>
      </c>
      <c r="H338" s="1">
        <f>F338-G338</f>
        <v>-4.5</v>
      </c>
      <c r="J338" s="1">
        <v>0.2392257783899471</v>
      </c>
      <c r="K338" s="1">
        <v>0.3</v>
      </c>
      <c r="L338" s="4">
        <f>J338-K338</f>
        <v>-6.0774221610052886E-2</v>
      </c>
      <c r="P338" s="4"/>
      <c r="T338" s="4"/>
      <c r="U338" s="2">
        <v>46055</v>
      </c>
      <c r="V338" s="1" t="s">
        <v>52</v>
      </c>
      <c r="W338" s="1" t="s">
        <v>52</v>
      </c>
      <c r="X338" s="1">
        <v>4.0999999999999996</v>
      </c>
      <c r="AB338" s="4"/>
      <c r="AF338" s="7"/>
      <c r="AG338" s="8"/>
      <c r="AH338" s="6"/>
      <c r="AK338" s="6"/>
      <c r="AN338" s="4"/>
      <c r="AR338" s="4"/>
      <c r="AS338" s="6"/>
      <c r="AT338" s="1">
        <v>0</v>
      </c>
      <c r="AU338" s="1">
        <v>-40.5</v>
      </c>
      <c r="AV338" s="4">
        <f>AT338-AU338</f>
        <v>40.5</v>
      </c>
      <c r="AY338" s="6">
        <v>0.1</v>
      </c>
      <c r="AZ338" s="4">
        <f>AX338-AY338</f>
        <v>-0.1</v>
      </c>
    </row>
    <row r="339" spans="1:53" s="1" customFormat="1" x14ac:dyDescent="0.2">
      <c r="G339" s="1">
        <v>4.4000000000000004</v>
      </c>
      <c r="H339" s="1">
        <f>F339-G339</f>
        <v>-4.4000000000000004</v>
      </c>
      <c r="J339" s="1">
        <v>0.28114265051527532</v>
      </c>
      <c r="K339" s="1">
        <v>0.3</v>
      </c>
      <c r="L339" s="4">
        <f>J339-K339</f>
        <v>-1.8857349484724673E-2</v>
      </c>
      <c r="P339" s="4"/>
      <c r="T339" s="4"/>
      <c r="U339" s="2">
        <v>46083</v>
      </c>
      <c r="V339" s="1" t="s">
        <v>52</v>
      </c>
      <c r="W339" s="1" t="s">
        <v>52</v>
      </c>
      <c r="X339" s="1">
        <v>0.6</v>
      </c>
      <c r="AB339" s="4"/>
      <c r="AF339" s="7"/>
      <c r="AG339" s="8"/>
      <c r="AH339" s="6"/>
      <c r="AK339" s="6"/>
      <c r="AN339" s="4"/>
      <c r="AR339" s="4"/>
      <c r="AS339" s="6"/>
      <c r="AT339" s="1">
        <v>0</v>
      </c>
      <c r="AU339" s="1">
        <v>-55.5</v>
      </c>
      <c r="AV339" s="4">
        <f>AT339-AU339</f>
        <v>55.5</v>
      </c>
      <c r="AY339" s="6">
        <v>0.4</v>
      </c>
      <c r="AZ339" s="4">
        <f>AX339-AY339</f>
        <v>-0.4</v>
      </c>
    </row>
    <row r="340" spans="1:53" s="1" customFormat="1" x14ac:dyDescent="0.2">
      <c r="G340" s="1">
        <v>4.3</v>
      </c>
      <c r="H340" s="1">
        <f>F340-G340</f>
        <v>-4.3</v>
      </c>
      <c r="J340" s="1">
        <v>0.21605021740240754</v>
      </c>
      <c r="K340" s="1">
        <v>0.2</v>
      </c>
      <c r="L340" s="4">
        <f>J340-K340</f>
        <v>1.6050217402407529E-2</v>
      </c>
      <c r="P340" s="4"/>
      <c r="T340" s="4"/>
      <c r="U340" s="2">
        <v>46113</v>
      </c>
      <c r="V340" s="1" t="s">
        <v>52</v>
      </c>
      <c r="W340" s="1" t="s">
        <v>52</v>
      </c>
      <c r="X340" s="3" t="s">
        <v>52</v>
      </c>
      <c r="AB340" s="4"/>
      <c r="AF340" s="7"/>
      <c r="AG340" s="8"/>
      <c r="AH340" s="6"/>
      <c r="AK340" s="6"/>
      <c r="AN340" s="4"/>
      <c r="AR340" s="4"/>
      <c r="AS340" s="6"/>
      <c r="AT340" s="1">
        <v>0</v>
      </c>
      <c r="AU340" s="1">
        <v>-66.599999999999994</v>
      </c>
      <c r="AV340" s="4">
        <f>AT340-AU340</f>
        <v>66.599999999999994</v>
      </c>
      <c r="AY340" s="6">
        <v>0.1</v>
      </c>
      <c r="AZ340" s="4">
        <f>AX340-AY340</f>
        <v>-0.1</v>
      </c>
    </row>
    <row r="341" spans="1:53" s="1" customFormat="1" x14ac:dyDescent="0.2">
      <c r="G341" s="1">
        <v>4.4000000000000004</v>
      </c>
      <c r="H341" s="1">
        <f>F341-G341</f>
        <v>-4.4000000000000004</v>
      </c>
      <c r="J341" s="1">
        <v>0.19579505385114176</v>
      </c>
      <c r="K341" s="1">
        <v>0.3</v>
      </c>
      <c r="L341" s="4">
        <f>J341-K341</f>
        <v>-0.10420494614885822</v>
      </c>
      <c r="M341" s="3"/>
      <c r="P341" s="4"/>
      <c r="V341" s="1" t="s">
        <v>52</v>
      </c>
      <c r="W341" s="1" t="s">
        <v>52</v>
      </c>
      <c r="AB341" s="4"/>
      <c r="AF341" s="7"/>
      <c r="AH341" s="7"/>
      <c r="AL341" s="1">
        <f>AJ341-AK341</f>
        <v>0</v>
      </c>
      <c r="AN341" s="4"/>
      <c r="AQ341" s="3"/>
      <c r="AR341" s="4"/>
      <c r="AS341" s="6"/>
      <c r="AT341" s="1">
        <v>0</v>
      </c>
      <c r="AU341" s="1">
        <v>-61</v>
      </c>
      <c r="AV341" s="4">
        <f>AT341-AU341</f>
        <v>61</v>
      </c>
      <c r="AW341" s="3"/>
      <c r="AY341" s="6" t="s">
        <v>52</v>
      </c>
      <c r="AZ341" s="4" t="e">
        <f>AX341-AY341</f>
        <v>#VALUE!</v>
      </c>
      <c r="BA341" s="3"/>
    </row>
    <row r="342" spans="1:53" s="1" customFormat="1" x14ac:dyDescent="0.2">
      <c r="AT342" s="1">
        <v>0</v>
      </c>
      <c r="AU342" s="3" t="s">
        <v>52</v>
      </c>
      <c r="AV342" s="4" t="e">
        <f>AT342-AU342</f>
        <v>#VALUE!</v>
      </c>
      <c r="AW342" s="3"/>
      <c r="AZ342" s="4">
        <f>AX342-AY342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Surpreses-checkAVGhoureaConConf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Vojtech Brezna</dc:creator>
  <cp:lastModifiedBy>Vojtech Brezna</cp:lastModifiedBy>
  <dcterms:created xsi:type="dcterms:W3CDTF">2026-04-13T11:31:39Z</dcterms:created>
  <dcterms:modified xsi:type="dcterms:W3CDTF">2026-04-13T11:32:35Z</dcterms:modified>
</cp:coreProperties>
</file>